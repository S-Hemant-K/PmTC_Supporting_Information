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0\share\GitHub_Repos\PmTC_Supporting_Information\ML\L3O_top_models\Models\"/>
    </mc:Choice>
  </mc:AlternateContent>
  <xr:revisionPtr revIDLastSave="0" documentId="13_ncr:1_{59AA5E58-254F-48E2-B35A-C451794D1F7A}" xr6:coauthVersionLast="47" xr6:coauthVersionMax="47" xr10:uidLastSave="{00000000-0000-0000-0000-000000000000}"/>
  <bookViews>
    <workbookView xWindow="-108" yWindow="-108" windowWidth="23256" windowHeight="12456" xr2:uid="{790C1534-1221-45C6-A95A-C1A659BF7431}"/>
  </bookViews>
  <sheets>
    <sheet name="L3O_good_ranker_modest_to_good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" i="1"/>
</calcChain>
</file>

<file path=xl/sharedStrings.xml><?xml version="1.0" encoding="utf-8"?>
<sst xmlns="http://schemas.openxmlformats.org/spreadsheetml/2006/main" count="628" uniqueCount="109">
  <si>
    <t>Model</t>
  </si>
  <si>
    <t>Test_set</t>
  </si>
  <si>
    <t>PR-AUC</t>
  </si>
  <si>
    <t>ROC-AUC</t>
  </si>
  <si>
    <t>F1</t>
  </si>
  <si>
    <t>Precision</t>
  </si>
  <si>
    <t>Recall</t>
  </si>
  <si>
    <t>TP</t>
  </si>
  <si>
    <t>FP</t>
  </si>
  <si>
    <t>TN</t>
  </si>
  <si>
    <t>FN</t>
  </si>
  <si>
    <t>Rank_of_first_TP</t>
  </si>
  <si>
    <t>#TPs_in_top10</t>
  </si>
  <si>
    <t>POI</t>
  </si>
  <si>
    <t>6hr2_7s4e_8bdx_RandomForest_Full</t>
  </si>
  <si>
    <t>6hr2</t>
  </si>
  <si>
    <t>SMCA4</t>
  </si>
  <si>
    <t>7s4e</t>
  </si>
  <si>
    <t>SMCA2</t>
  </si>
  <si>
    <t>8bdx</t>
  </si>
  <si>
    <t>BRD4</t>
  </si>
  <si>
    <t>7s4e_8bdx_8qvu_LightGBM_Full</t>
  </si>
  <si>
    <t>8qvu</t>
  </si>
  <si>
    <t>KRAS</t>
  </si>
  <si>
    <t>7s4e_8bdx_8qvu_XGBoost_Full</t>
  </si>
  <si>
    <t>7s4e_8bdx_8qw6_RandomForest_Full</t>
  </si>
  <si>
    <t>8qw6</t>
  </si>
  <si>
    <t>7s4e_8bdx_8qw6_LightGBM_Full</t>
  </si>
  <si>
    <t>7s4e_8bdx_8qw6_XGBoost_Full</t>
  </si>
  <si>
    <t>6hay_8bdx_8qvu_XGBoost_Full</t>
  </si>
  <si>
    <t>6hay</t>
  </si>
  <si>
    <t>6hay_8bdx_8qvu_LightGBM_Full</t>
  </si>
  <si>
    <t>7s4e_8bdx_9rkn_RandomForest_Full</t>
  </si>
  <si>
    <t>9rkn</t>
  </si>
  <si>
    <t>7z6l_8bdx_9rke_RandomForest_Full</t>
  </si>
  <si>
    <t>7z6l</t>
  </si>
  <si>
    <t>9rke</t>
  </si>
  <si>
    <t>7s4e_8bdx_9rkn_XGBoost_Full</t>
  </si>
  <si>
    <t>7s4e_8bdx_8qw7_XGBoost_Full</t>
  </si>
  <si>
    <t>8qw7</t>
  </si>
  <si>
    <t>7z6l_8bdx_8qvu_RandomForest_Full</t>
  </si>
  <si>
    <t>8bdx_8qw7_9hyn_XGBoost_Full</t>
  </si>
  <si>
    <t>9hyn</t>
  </si>
  <si>
    <t>7s4e_8bdx_8qw7_LightGBM_Full</t>
  </si>
  <si>
    <t>6hr2_7z6l_8bdx_RandomForest_Full</t>
  </si>
  <si>
    <t>7s4e_8bdx_8qw7_RandomForest_Full</t>
  </si>
  <si>
    <t>6hay_8bdx_8qw7_XGBoost_Full</t>
  </si>
  <si>
    <t>7z6l_8bdx_9rkn_RandomForest_Full</t>
  </si>
  <si>
    <t>7s4e_8bdx_9rke_XGBoost_Full</t>
  </si>
  <si>
    <t>8bdx_8qw7_9hyn_LightGBM_Full</t>
  </si>
  <si>
    <t>6hr2_8bdx_8qw7_XGBoost_Full</t>
  </si>
  <si>
    <t>6hay_8bdx_8qw7_LightGBM_Full</t>
  </si>
  <si>
    <t>6hr2_8bdx_8qw7_RandomForest_Full</t>
  </si>
  <si>
    <t>6hax_8bdx_8qw7_XGBoost_Full</t>
  </si>
  <si>
    <t>6hax</t>
  </si>
  <si>
    <t>8bdx_8g1p_8qw7_XGBoost_Full</t>
  </si>
  <si>
    <t>8g1p</t>
  </si>
  <si>
    <t>8bdx_8g1p_8qw7_RandomForest_Full</t>
  </si>
  <si>
    <t>6hay_8bdx_8qw6_LightGBM_Full</t>
  </si>
  <si>
    <t>6hay_8bdx_8qw6_XGBoost_Full</t>
  </si>
  <si>
    <t>7z6l_8bdx_8qw7_RandomForest_Full</t>
  </si>
  <si>
    <t>7z6l_8bdx_8qw6_RandomForest_Full</t>
  </si>
  <si>
    <t>6hay_8bdx_8qw7_RandomForest_Full</t>
  </si>
  <si>
    <t>6hay_8bdx_9rkj_XGBoost_Full</t>
  </si>
  <si>
    <t>9rkj</t>
  </si>
  <si>
    <t>6hay_8bdx_9rkj_LightGBM_Full</t>
  </si>
  <si>
    <t>6hax_8bdx_8qw7_LightGBM_Full</t>
  </si>
  <si>
    <t>8bdx_8qw7_9hyn_RandomForest_Full</t>
  </si>
  <si>
    <t>6hay_8bb4_8bdx_XGBoost_Full</t>
  </si>
  <si>
    <t>8bb4</t>
  </si>
  <si>
    <t>WDR5</t>
  </si>
  <si>
    <t>6hr2_7s4e_8qw7_RandomForest_Full</t>
  </si>
  <si>
    <t>7s4e_8bdx_9rkn_RandomForest_Contacts</t>
  </si>
  <si>
    <t>7s4e_8bdt_8qw7_XGBoost_Full</t>
  </si>
  <si>
    <t>8bdt</t>
  </si>
  <si>
    <t>7znt_8g1p_8qw7_RandomForest_Full</t>
  </si>
  <si>
    <t>7znt</t>
  </si>
  <si>
    <t>5t35_7s4e_8qw7_XGBoost_Full</t>
  </si>
  <si>
    <t>5t35</t>
  </si>
  <si>
    <t>6hay_8bdt_8qw7_LightGBM_Full</t>
  </si>
  <si>
    <t>7s4e_7znt_8qw7_RandomForest_Full</t>
  </si>
  <si>
    <t>7znt_8qw7_9hyn_XGBoost_Full</t>
  </si>
  <si>
    <t>6hr2_7znt_8qw7_RandomForest_Full</t>
  </si>
  <si>
    <t>6hay_8bdx_9rkc_LightGBM_Full</t>
  </si>
  <si>
    <t>9rkc</t>
  </si>
  <si>
    <t>6hay_8bdx_9rk8_XGBoost_Full</t>
  </si>
  <si>
    <t>9rk8</t>
  </si>
  <si>
    <t>5t35_7s4e_8qw7_LightGBM_Full</t>
  </si>
  <si>
    <t>7s4e_7znt_8qw7_XGBoost_Full</t>
  </si>
  <si>
    <t>7z6l_7znt_9rkn_RandomForest_Full</t>
  </si>
  <si>
    <t>7s4e_7znt_8qw7_LightGBM_Full</t>
  </si>
  <si>
    <t>7znt_8qw7_9hyn_LightGBM_Full</t>
  </si>
  <si>
    <t>7z6l_7znt_8qw7_RandomForest_Full</t>
  </si>
  <si>
    <t>6hay_7znt_8qw7_XGBoost_Full</t>
  </si>
  <si>
    <t>6hay_8bdx_8qw7_XGBoost_Contacts</t>
  </si>
  <si>
    <t>6hr2_7z6l_7znt_RandomForest_Full</t>
  </si>
  <si>
    <t>6hay_7znt_8qw7_LightGBM_Full</t>
  </si>
  <si>
    <t>6hax_7znt_8qw7_XGBoost_Full</t>
  </si>
  <si>
    <t>6hay_7znt_8qvu_LightGBM_Full</t>
  </si>
  <si>
    <t>7s4e_7znt_8qw6_XGBoost_Full</t>
  </si>
  <si>
    <t>6hay_8bdx_9rk8_LightGBM_Full</t>
  </si>
  <si>
    <t>6hr2_7z6l_8qw7_RandomForest_Full</t>
  </si>
  <si>
    <t>6hay_7znt_9rkn_XGBoost_Full</t>
  </si>
  <si>
    <t>6hay_7znt_9rkn_LightGBM_Full</t>
  </si>
  <si>
    <t>6hay_7znt_8qw6_LightGBM_Full</t>
  </si>
  <si>
    <t>6hay_7znt_9rkc_LightGBM_Full</t>
  </si>
  <si>
    <t>6hay_7znt_8qw6_XGBoost_Full</t>
  </si>
  <si>
    <t>model_efficiency</t>
  </si>
  <si>
    <t>PR-AUC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</si>
</sst>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5CE0-0265-4A12-BA09-3CE675AD36C6}">
  <dimension ref="A1:P205"/>
  <sheetViews>
    <sheetView tabSelected="1" workbookViewId="0">
      <pane ySplit="1" topLeftCell="A2" activePane="bottomLeft" state="frozen"/>
      <selection pane="bottomLeft" activeCell="Q2" sqref="Q2:T205"/>
    </sheetView>
  </sheetViews>
  <sheetFormatPr defaultRowHeight="14.4" x14ac:dyDescent="0.3"/>
  <cols>
    <col min="1" max="1" width="35" bestFit="1" customWidth="1"/>
    <col min="2" max="2" width="7.5546875" bestFit="1" customWidth="1"/>
    <col min="3" max="3" width="7.44140625" bestFit="1" customWidth="1"/>
    <col min="5" max="5" width="7" bestFit="1" customWidth="1"/>
    <col min="6" max="6" width="8.5546875" bestFit="1" customWidth="1"/>
    <col min="7" max="7" width="7" bestFit="1" customWidth="1"/>
    <col min="8" max="8" width="3" bestFit="1" customWidth="1"/>
    <col min="9" max="10" width="4" bestFit="1" customWidth="1"/>
    <col min="11" max="11" width="3.33203125" bestFit="1" customWidth="1"/>
    <col min="12" max="12" width="14.109375" bestFit="1" customWidth="1"/>
    <col min="13" max="13" width="12.44140625" bestFit="1" customWidth="1"/>
    <col min="14" max="14" width="6.77734375" bestFit="1" customWidth="1"/>
    <col min="15" max="15" width="14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107</v>
      </c>
      <c r="P1" t="s">
        <v>108</v>
      </c>
    </row>
    <row r="2" spans="1:16" x14ac:dyDescent="0.3">
      <c r="A2" t="s">
        <v>14</v>
      </c>
      <c r="B2" t="s">
        <v>15</v>
      </c>
      <c r="C2" s="1">
        <v>0.52290000000000003</v>
      </c>
      <c r="D2" s="1">
        <v>0.98580000000000001</v>
      </c>
      <c r="E2" s="1">
        <v>0.76190000000000002</v>
      </c>
      <c r="F2" s="1">
        <v>0.61539999999999995</v>
      </c>
      <c r="G2" s="1">
        <v>1</v>
      </c>
      <c r="H2">
        <v>8</v>
      </c>
      <c r="I2">
        <v>5</v>
      </c>
      <c r="J2">
        <v>259</v>
      </c>
      <c r="K2">
        <v>0</v>
      </c>
      <c r="L2">
        <v>2</v>
      </c>
      <c r="M2">
        <v>6</v>
      </c>
      <c r="N2" t="s">
        <v>16</v>
      </c>
      <c r="O2" s="1">
        <f>M2/(H2+K2)*100</f>
        <v>75</v>
      </c>
      <c r="P2" s="1">
        <f>(H2+I2)/(H2+I2+J2+K2)</f>
        <v>4.779411764705882E-2</v>
      </c>
    </row>
    <row r="3" spans="1:16" x14ac:dyDescent="0.3">
      <c r="A3" t="s">
        <v>14</v>
      </c>
      <c r="B3" t="s">
        <v>17</v>
      </c>
      <c r="C3" s="1">
        <v>0.74690000000000001</v>
      </c>
      <c r="D3" s="1">
        <v>0.99429999999999996</v>
      </c>
      <c r="E3" s="1">
        <v>0.84209999999999996</v>
      </c>
      <c r="F3" s="1">
        <v>0.72729999999999995</v>
      </c>
      <c r="G3" s="1">
        <v>1</v>
      </c>
      <c r="H3">
        <v>8</v>
      </c>
      <c r="I3">
        <v>3</v>
      </c>
      <c r="J3">
        <v>284</v>
      </c>
      <c r="K3">
        <v>0</v>
      </c>
      <c r="L3">
        <v>1</v>
      </c>
      <c r="M3">
        <v>8</v>
      </c>
      <c r="N3" t="s">
        <v>18</v>
      </c>
      <c r="O3" s="1">
        <f t="shared" ref="O3:O66" si="0">M3/(H3+K3)*100</f>
        <v>100</v>
      </c>
      <c r="P3" s="1">
        <f t="shared" ref="P3:P66" si="1">(H3+I3)/(H3+I3+J3+K3)</f>
        <v>3.7288135593220341E-2</v>
      </c>
    </row>
    <row r="4" spans="1:16" x14ac:dyDescent="0.3">
      <c r="A4" t="s">
        <v>14</v>
      </c>
      <c r="B4" t="s">
        <v>19</v>
      </c>
      <c r="C4" s="1">
        <v>0.86739999999999995</v>
      </c>
      <c r="D4" s="1">
        <v>0.97299999999999998</v>
      </c>
      <c r="E4" s="1">
        <v>0.8085</v>
      </c>
      <c r="F4" s="1">
        <v>0.76</v>
      </c>
      <c r="G4" s="1">
        <v>0.86360000000000003</v>
      </c>
      <c r="H4">
        <v>19</v>
      </c>
      <c r="I4">
        <v>6</v>
      </c>
      <c r="J4">
        <v>272</v>
      </c>
      <c r="K4">
        <v>3</v>
      </c>
      <c r="L4">
        <v>1</v>
      </c>
      <c r="M4">
        <v>10</v>
      </c>
      <c r="N4" t="s">
        <v>20</v>
      </c>
      <c r="O4" s="1">
        <f t="shared" si="0"/>
        <v>45.454545454545453</v>
      </c>
      <c r="P4" s="1">
        <f t="shared" si="1"/>
        <v>8.3333333333333329E-2</v>
      </c>
    </row>
    <row r="5" spans="1:16" x14ac:dyDescent="0.3">
      <c r="A5" t="s">
        <v>21</v>
      </c>
      <c r="B5" t="s">
        <v>17</v>
      </c>
      <c r="C5" s="1">
        <v>0.85229999999999995</v>
      </c>
      <c r="D5" s="1">
        <v>0.99650000000000005</v>
      </c>
      <c r="E5" s="1">
        <v>0.8</v>
      </c>
      <c r="F5" s="1">
        <v>0.66669999999999996</v>
      </c>
      <c r="G5" s="1">
        <v>1</v>
      </c>
      <c r="H5">
        <v>8</v>
      </c>
      <c r="I5">
        <v>4</v>
      </c>
      <c r="J5">
        <v>283</v>
      </c>
      <c r="K5">
        <v>0</v>
      </c>
      <c r="L5">
        <v>1</v>
      </c>
      <c r="M5">
        <v>8</v>
      </c>
      <c r="N5" t="s">
        <v>18</v>
      </c>
      <c r="O5" s="1">
        <f t="shared" si="0"/>
        <v>100</v>
      </c>
      <c r="P5" s="1">
        <f t="shared" si="1"/>
        <v>4.0677966101694912E-2</v>
      </c>
    </row>
    <row r="6" spans="1:16" x14ac:dyDescent="0.3">
      <c r="A6" t="s">
        <v>21</v>
      </c>
      <c r="B6" t="s">
        <v>19</v>
      </c>
      <c r="C6" s="1">
        <v>0.8458</v>
      </c>
      <c r="D6" s="1">
        <v>0.93840000000000001</v>
      </c>
      <c r="E6" s="1">
        <v>0.86360000000000003</v>
      </c>
      <c r="F6" s="1">
        <v>0.86360000000000003</v>
      </c>
      <c r="G6" s="1">
        <v>0.86360000000000003</v>
      </c>
      <c r="H6">
        <v>19</v>
      </c>
      <c r="I6">
        <v>3</v>
      </c>
      <c r="J6">
        <v>275</v>
      </c>
      <c r="K6">
        <v>3</v>
      </c>
      <c r="L6">
        <v>1</v>
      </c>
      <c r="M6">
        <v>10</v>
      </c>
      <c r="N6" t="s">
        <v>20</v>
      </c>
      <c r="O6" s="1">
        <f t="shared" si="0"/>
        <v>45.454545454545453</v>
      </c>
      <c r="P6" s="1">
        <f t="shared" si="1"/>
        <v>7.3333333333333334E-2</v>
      </c>
    </row>
    <row r="7" spans="1:16" x14ac:dyDescent="0.3">
      <c r="A7" t="s">
        <v>21</v>
      </c>
      <c r="B7" t="s">
        <v>22</v>
      </c>
      <c r="C7" s="1">
        <v>0.5524</v>
      </c>
      <c r="D7" s="1">
        <v>0.97970000000000002</v>
      </c>
      <c r="E7" s="1">
        <v>0.58330000000000004</v>
      </c>
      <c r="F7" s="1">
        <v>0.4667</v>
      </c>
      <c r="G7" s="1">
        <v>0.77780000000000005</v>
      </c>
      <c r="H7">
        <v>7</v>
      </c>
      <c r="I7">
        <v>8</v>
      </c>
      <c r="J7">
        <v>277</v>
      </c>
      <c r="K7">
        <v>2</v>
      </c>
      <c r="L7">
        <v>2</v>
      </c>
      <c r="M7">
        <v>6</v>
      </c>
      <c r="N7" t="s">
        <v>23</v>
      </c>
      <c r="O7" s="1">
        <f t="shared" si="0"/>
        <v>66.666666666666657</v>
      </c>
      <c r="P7" s="1">
        <f t="shared" si="1"/>
        <v>5.1020408163265307E-2</v>
      </c>
    </row>
    <row r="8" spans="1:16" x14ac:dyDescent="0.3">
      <c r="A8" t="s">
        <v>24</v>
      </c>
      <c r="B8" t="s">
        <v>17</v>
      </c>
      <c r="C8" s="1">
        <v>0.82399999999999995</v>
      </c>
      <c r="D8" s="1">
        <v>0.99560000000000004</v>
      </c>
      <c r="E8" s="1">
        <v>0.8</v>
      </c>
      <c r="F8" s="1">
        <v>0.66669999999999996</v>
      </c>
      <c r="G8" s="1">
        <v>1</v>
      </c>
      <c r="H8">
        <v>8</v>
      </c>
      <c r="I8">
        <v>4</v>
      </c>
      <c r="J8">
        <v>283</v>
      </c>
      <c r="K8">
        <v>0</v>
      </c>
      <c r="L8">
        <v>1</v>
      </c>
      <c r="M8">
        <v>8</v>
      </c>
      <c r="N8" t="s">
        <v>18</v>
      </c>
      <c r="O8" s="1">
        <f t="shared" si="0"/>
        <v>100</v>
      </c>
      <c r="P8" s="1">
        <f t="shared" si="1"/>
        <v>4.0677966101694912E-2</v>
      </c>
    </row>
    <row r="9" spans="1:16" x14ac:dyDescent="0.3">
      <c r="A9" t="s">
        <v>24</v>
      </c>
      <c r="B9" t="s">
        <v>19</v>
      </c>
      <c r="C9" s="1">
        <v>0.86260000000000003</v>
      </c>
      <c r="D9" s="1">
        <v>0.94340000000000002</v>
      </c>
      <c r="E9" s="1">
        <v>0.82609999999999995</v>
      </c>
      <c r="F9" s="1">
        <v>0.79169999999999996</v>
      </c>
      <c r="G9" s="1">
        <v>0.86360000000000003</v>
      </c>
      <c r="H9">
        <v>19</v>
      </c>
      <c r="I9">
        <v>5</v>
      </c>
      <c r="J9">
        <v>273</v>
      </c>
      <c r="K9">
        <v>3</v>
      </c>
      <c r="L9">
        <v>1</v>
      </c>
      <c r="M9">
        <v>10</v>
      </c>
      <c r="N9" t="s">
        <v>20</v>
      </c>
      <c r="O9" s="1">
        <f t="shared" si="0"/>
        <v>45.454545454545453</v>
      </c>
      <c r="P9" s="1">
        <f t="shared" si="1"/>
        <v>0.08</v>
      </c>
    </row>
    <row r="10" spans="1:16" x14ac:dyDescent="0.3">
      <c r="A10" t="s">
        <v>24</v>
      </c>
      <c r="B10" t="s">
        <v>22</v>
      </c>
      <c r="C10" s="1">
        <v>0.49930000000000002</v>
      </c>
      <c r="D10" s="1">
        <v>0.97819999999999996</v>
      </c>
      <c r="E10" s="1">
        <v>0.53849999999999998</v>
      </c>
      <c r="F10" s="1">
        <v>0.4118</v>
      </c>
      <c r="G10" s="1">
        <v>0.77780000000000005</v>
      </c>
      <c r="H10">
        <v>7</v>
      </c>
      <c r="I10">
        <v>10</v>
      </c>
      <c r="J10">
        <v>275</v>
      </c>
      <c r="K10">
        <v>2</v>
      </c>
      <c r="L10">
        <v>3</v>
      </c>
      <c r="M10">
        <v>6</v>
      </c>
      <c r="N10" t="s">
        <v>23</v>
      </c>
      <c r="O10" s="1">
        <f t="shared" si="0"/>
        <v>66.666666666666657</v>
      </c>
      <c r="P10" s="1">
        <f t="shared" si="1"/>
        <v>5.7823129251700682E-2</v>
      </c>
    </row>
    <row r="11" spans="1:16" x14ac:dyDescent="0.3">
      <c r="A11" t="s">
        <v>25</v>
      </c>
      <c r="B11" t="s">
        <v>17</v>
      </c>
      <c r="C11" s="1">
        <v>0.76570000000000005</v>
      </c>
      <c r="D11" s="1">
        <v>0.99480000000000002</v>
      </c>
      <c r="E11" s="1">
        <v>0.88890000000000002</v>
      </c>
      <c r="F11" s="1">
        <v>0.8</v>
      </c>
      <c r="G11" s="1">
        <v>1</v>
      </c>
      <c r="H11">
        <v>8</v>
      </c>
      <c r="I11">
        <v>2</v>
      </c>
      <c r="J11">
        <v>285</v>
      </c>
      <c r="K11">
        <v>0</v>
      </c>
      <c r="L11">
        <v>1</v>
      </c>
      <c r="M11">
        <v>8</v>
      </c>
      <c r="N11" t="s">
        <v>18</v>
      </c>
      <c r="O11" s="1">
        <f t="shared" si="0"/>
        <v>100</v>
      </c>
      <c r="P11" s="1">
        <f t="shared" si="1"/>
        <v>3.3898305084745763E-2</v>
      </c>
    </row>
    <row r="12" spans="1:16" x14ac:dyDescent="0.3">
      <c r="A12" t="s">
        <v>25</v>
      </c>
      <c r="B12" t="s">
        <v>19</v>
      </c>
      <c r="C12" s="1">
        <v>0.88039999999999996</v>
      </c>
      <c r="D12" s="1">
        <v>0.9698</v>
      </c>
      <c r="E12" s="1">
        <v>0.74509999999999998</v>
      </c>
      <c r="F12" s="1">
        <v>0.6552</v>
      </c>
      <c r="G12" s="1">
        <v>0.86360000000000003</v>
      </c>
      <c r="H12">
        <v>19</v>
      </c>
      <c r="I12">
        <v>10</v>
      </c>
      <c r="J12">
        <v>268</v>
      </c>
      <c r="K12">
        <v>3</v>
      </c>
      <c r="L12">
        <v>1</v>
      </c>
      <c r="M12">
        <v>10</v>
      </c>
      <c r="N12" t="s">
        <v>20</v>
      </c>
      <c r="O12" s="1">
        <f t="shared" si="0"/>
        <v>45.454545454545453</v>
      </c>
      <c r="P12" s="1">
        <f t="shared" si="1"/>
        <v>9.6666666666666665E-2</v>
      </c>
    </row>
    <row r="13" spans="1:16" x14ac:dyDescent="0.3">
      <c r="A13" t="s">
        <v>25</v>
      </c>
      <c r="B13" t="s">
        <v>26</v>
      </c>
      <c r="C13" s="1">
        <v>0.65620000000000001</v>
      </c>
      <c r="D13" s="1">
        <v>0.97350000000000003</v>
      </c>
      <c r="E13" s="1">
        <v>0.42859999999999998</v>
      </c>
      <c r="F13" s="1">
        <v>0.3</v>
      </c>
      <c r="G13" s="1">
        <v>0.75</v>
      </c>
      <c r="H13">
        <v>3</v>
      </c>
      <c r="I13">
        <v>7</v>
      </c>
      <c r="J13">
        <v>285</v>
      </c>
      <c r="K13">
        <v>1</v>
      </c>
      <c r="L13">
        <v>1</v>
      </c>
      <c r="M13">
        <v>3</v>
      </c>
      <c r="N13" t="s">
        <v>23</v>
      </c>
      <c r="O13" s="1">
        <f t="shared" si="0"/>
        <v>75</v>
      </c>
      <c r="P13" s="1">
        <f t="shared" si="1"/>
        <v>3.3783783783783786E-2</v>
      </c>
    </row>
    <row r="14" spans="1:16" x14ac:dyDescent="0.3">
      <c r="A14" t="s">
        <v>27</v>
      </c>
      <c r="B14" t="s">
        <v>17</v>
      </c>
      <c r="C14" s="1">
        <v>0.77139999999999997</v>
      </c>
      <c r="D14" s="1">
        <v>0.99650000000000005</v>
      </c>
      <c r="E14" s="1">
        <v>0.84209999999999996</v>
      </c>
      <c r="F14" s="1">
        <v>0.72729999999999995</v>
      </c>
      <c r="G14" s="1">
        <v>1</v>
      </c>
      <c r="H14">
        <v>8</v>
      </c>
      <c r="I14">
        <v>3</v>
      </c>
      <c r="J14">
        <v>284</v>
      </c>
      <c r="K14">
        <v>0</v>
      </c>
      <c r="L14">
        <v>2</v>
      </c>
      <c r="M14">
        <v>8</v>
      </c>
      <c r="N14" t="s">
        <v>18</v>
      </c>
      <c r="O14" s="1">
        <f t="shared" si="0"/>
        <v>100</v>
      </c>
      <c r="P14" s="1">
        <f t="shared" si="1"/>
        <v>3.7288135593220341E-2</v>
      </c>
    </row>
    <row r="15" spans="1:16" x14ac:dyDescent="0.3">
      <c r="A15" t="s">
        <v>27</v>
      </c>
      <c r="B15" t="s">
        <v>19</v>
      </c>
      <c r="C15" s="1">
        <v>0.878</v>
      </c>
      <c r="D15" s="1">
        <v>0.94389999999999996</v>
      </c>
      <c r="E15" s="1">
        <v>0.79169999999999996</v>
      </c>
      <c r="F15" s="1">
        <v>0.73080000000000001</v>
      </c>
      <c r="G15" s="1">
        <v>0.86360000000000003</v>
      </c>
      <c r="H15">
        <v>19</v>
      </c>
      <c r="I15">
        <v>7</v>
      </c>
      <c r="J15">
        <v>271</v>
      </c>
      <c r="K15">
        <v>3</v>
      </c>
      <c r="L15">
        <v>1</v>
      </c>
      <c r="M15">
        <v>10</v>
      </c>
      <c r="N15" t="s">
        <v>20</v>
      </c>
      <c r="O15" s="1">
        <f t="shared" si="0"/>
        <v>45.454545454545453</v>
      </c>
      <c r="P15" s="1">
        <f t="shared" si="1"/>
        <v>8.666666666666667E-2</v>
      </c>
    </row>
    <row r="16" spans="1:16" x14ac:dyDescent="0.3">
      <c r="A16" t="s">
        <v>27</v>
      </c>
      <c r="B16" t="s">
        <v>26</v>
      </c>
      <c r="C16" s="1">
        <v>0.58209999999999995</v>
      </c>
      <c r="D16" s="1">
        <v>0.94520000000000004</v>
      </c>
      <c r="E16" s="1">
        <v>0.3</v>
      </c>
      <c r="F16" s="1">
        <v>0.1875</v>
      </c>
      <c r="G16" s="1">
        <v>0.75</v>
      </c>
      <c r="H16">
        <v>3</v>
      </c>
      <c r="I16">
        <v>13</v>
      </c>
      <c r="J16">
        <v>279</v>
      </c>
      <c r="K16">
        <v>1</v>
      </c>
      <c r="L16">
        <v>1</v>
      </c>
      <c r="M16">
        <v>3</v>
      </c>
      <c r="N16" t="s">
        <v>23</v>
      </c>
      <c r="O16" s="1">
        <f t="shared" si="0"/>
        <v>75</v>
      </c>
      <c r="P16" s="1">
        <f t="shared" si="1"/>
        <v>5.4054054054054057E-2</v>
      </c>
    </row>
    <row r="17" spans="1:16" x14ac:dyDescent="0.3">
      <c r="A17" t="s">
        <v>28</v>
      </c>
      <c r="B17" t="s">
        <v>17</v>
      </c>
      <c r="C17" s="1">
        <v>0.83889999999999998</v>
      </c>
      <c r="D17" s="1">
        <v>0.99609999999999999</v>
      </c>
      <c r="E17" s="1">
        <v>0.84209999999999996</v>
      </c>
      <c r="F17" s="1">
        <v>0.72729999999999995</v>
      </c>
      <c r="G17" s="1">
        <v>1</v>
      </c>
      <c r="H17">
        <v>8</v>
      </c>
      <c r="I17">
        <v>3</v>
      </c>
      <c r="J17">
        <v>284</v>
      </c>
      <c r="K17">
        <v>0</v>
      </c>
      <c r="L17">
        <v>1</v>
      </c>
      <c r="M17">
        <v>8</v>
      </c>
      <c r="N17" t="s">
        <v>18</v>
      </c>
      <c r="O17" s="1">
        <f t="shared" si="0"/>
        <v>100</v>
      </c>
      <c r="P17" s="1">
        <f t="shared" si="1"/>
        <v>3.7288135593220341E-2</v>
      </c>
    </row>
    <row r="18" spans="1:16" x14ac:dyDescent="0.3">
      <c r="A18" t="s">
        <v>28</v>
      </c>
      <c r="B18" t="s">
        <v>19</v>
      </c>
      <c r="C18" s="1">
        <v>0.87890000000000001</v>
      </c>
      <c r="D18" s="1">
        <v>0.94640000000000002</v>
      </c>
      <c r="E18" s="1">
        <v>0.84440000000000004</v>
      </c>
      <c r="F18" s="1">
        <v>0.82609999999999995</v>
      </c>
      <c r="G18" s="1">
        <v>0.86360000000000003</v>
      </c>
      <c r="H18">
        <v>19</v>
      </c>
      <c r="I18">
        <v>4</v>
      </c>
      <c r="J18">
        <v>274</v>
      </c>
      <c r="K18">
        <v>3</v>
      </c>
      <c r="L18">
        <v>1</v>
      </c>
      <c r="M18">
        <v>10</v>
      </c>
      <c r="N18" t="s">
        <v>20</v>
      </c>
      <c r="O18" s="1">
        <f t="shared" si="0"/>
        <v>45.454545454545453</v>
      </c>
      <c r="P18" s="1">
        <f t="shared" si="1"/>
        <v>7.6666666666666661E-2</v>
      </c>
    </row>
    <row r="19" spans="1:16" x14ac:dyDescent="0.3">
      <c r="A19" t="s">
        <v>28</v>
      </c>
      <c r="B19" t="s">
        <v>26</v>
      </c>
      <c r="C19" s="1">
        <v>0.50570000000000004</v>
      </c>
      <c r="D19" s="1">
        <v>0.9546</v>
      </c>
      <c r="E19" s="1">
        <v>0.25</v>
      </c>
      <c r="F19" s="1">
        <v>0.15</v>
      </c>
      <c r="G19" s="1">
        <v>0.75</v>
      </c>
      <c r="H19">
        <v>3</v>
      </c>
      <c r="I19">
        <v>17</v>
      </c>
      <c r="J19">
        <v>275</v>
      </c>
      <c r="K19">
        <v>1</v>
      </c>
      <c r="L19">
        <v>1</v>
      </c>
      <c r="M19">
        <v>2</v>
      </c>
      <c r="N19" t="s">
        <v>23</v>
      </c>
      <c r="O19" s="1">
        <f t="shared" si="0"/>
        <v>50</v>
      </c>
      <c r="P19" s="1">
        <f t="shared" si="1"/>
        <v>6.7567567567567571E-2</v>
      </c>
    </row>
    <row r="20" spans="1:16" x14ac:dyDescent="0.3">
      <c r="A20" t="s">
        <v>29</v>
      </c>
      <c r="B20" t="s">
        <v>30</v>
      </c>
      <c r="C20" s="1">
        <v>1</v>
      </c>
      <c r="D20" s="1">
        <v>1</v>
      </c>
      <c r="E20" s="1">
        <v>0.4</v>
      </c>
      <c r="F20" s="1">
        <v>0.25</v>
      </c>
      <c r="G20" s="1">
        <v>1</v>
      </c>
      <c r="H20">
        <v>3</v>
      </c>
      <c r="I20">
        <v>9</v>
      </c>
      <c r="J20">
        <v>287</v>
      </c>
      <c r="K20">
        <v>0</v>
      </c>
      <c r="L20">
        <v>1</v>
      </c>
      <c r="M20">
        <v>3</v>
      </c>
      <c r="N20" t="s">
        <v>18</v>
      </c>
      <c r="O20" s="1">
        <f t="shared" si="0"/>
        <v>100</v>
      </c>
      <c r="P20" s="1">
        <f t="shared" si="1"/>
        <v>4.0133779264214048E-2</v>
      </c>
    </row>
    <row r="21" spans="1:16" x14ac:dyDescent="0.3">
      <c r="A21" t="s">
        <v>29</v>
      </c>
      <c r="B21" t="s">
        <v>19</v>
      </c>
      <c r="C21" s="1">
        <v>0.87619999999999998</v>
      </c>
      <c r="D21" s="1">
        <v>0.93540000000000001</v>
      </c>
      <c r="E21" s="1">
        <v>0.84440000000000004</v>
      </c>
      <c r="F21" s="1">
        <v>0.82609999999999995</v>
      </c>
      <c r="G21" s="1">
        <v>0.86360000000000003</v>
      </c>
      <c r="H21">
        <v>19</v>
      </c>
      <c r="I21">
        <v>4</v>
      </c>
      <c r="J21">
        <v>274</v>
      </c>
      <c r="K21">
        <v>3</v>
      </c>
      <c r="L21">
        <v>1</v>
      </c>
      <c r="M21">
        <v>10</v>
      </c>
      <c r="N21" t="s">
        <v>20</v>
      </c>
      <c r="O21" s="1">
        <f t="shared" si="0"/>
        <v>45.454545454545453</v>
      </c>
      <c r="P21" s="1">
        <f t="shared" si="1"/>
        <v>7.6666666666666661E-2</v>
      </c>
    </row>
    <row r="22" spans="1:16" x14ac:dyDescent="0.3">
      <c r="A22" t="s">
        <v>29</v>
      </c>
      <c r="B22" t="s">
        <v>22</v>
      </c>
      <c r="C22" s="1">
        <v>0.4879</v>
      </c>
      <c r="D22" s="1">
        <v>0.97309999999999997</v>
      </c>
      <c r="E22" s="1">
        <v>0.51849999999999996</v>
      </c>
      <c r="F22" s="1">
        <v>0.38890000000000002</v>
      </c>
      <c r="G22" s="1">
        <v>0.77780000000000005</v>
      </c>
      <c r="H22">
        <v>7</v>
      </c>
      <c r="I22">
        <v>11</v>
      </c>
      <c r="J22">
        <v>274</v>
      </c>
      <c r="K22">
        <v>2</v>
      </c>
      <c r="L22">
        <v>3</v>
      </c>
      <c r="M22">
        <v>5</v>
      </c>
      <c r="N22" t="s">
        <v>23</v>
      </c>
      <c r="O22" s="1">
        <f t="shared" si="0"/>
        <v>55.555555555555557</v>
      </c>
      <c r="P22" s="1">
        <f t="shared" si="1"/>
        <v>6.1224489795918366E-2</v>
      </c>
    </row>
    <row r="23" spans="1:16" x14ac:dyDescent="0.3">
      <c r="A23" t="s">
        <v>31</v>
      </c>
      <c r="B23" t="s">
        <v>30</v>
      </c>
      <c r="C23" s="1">
        <v>1</v>
      </c>
      <c r="D23" s="1">
        <v>1</v>
      </c>
      <c r="E23" s="1">
        <v>0.46150000000000002</v>
      </c>
      <c r="F23" s="1">
        <v>0.3</v>
      </c>
      <c r="G23" s="1">
        <v>1</v>
      </c>
      <c r="H23">
        <v>3</v>
      </c>
      <c r="I23">
        <v>7</v>
      </c>
      <c r="J23">
        <v>289</v>
      </c>
      <c r="K23">
        <v>0</v>
      </c>
      <c r="L23">
        <v>1</v>
      </c>
      <c r="M23">
        <v>3</v>
      </c>
      <c r="N23" t="s">
        <v>18</v>
      </c>
      <c r="O23" s="1">
        <f t="shared" si="0"/>
        <v>100</v>
      </c>
      <c r="P23" s="1">
        <f t="shared" si="1"/>
        <v>3.3444816053511704E-2</v>
      </c>
    </row>
    <row r="24" spans="1:16" x14ac:dyDescent="0.3">
      <c r="A24" t="s">
        <v>31</v>
      </c>
      <c r="B24" t="s">
        <v>19</v>
      </c>
      <c r="C24" s="1">
        <v>0.86709999999999998</v>
      </c>
      <c r="D24" s="1">
        <v>0.93559999999999999</v>
      </c>
      <c r="E24" s="1">
        <v>0.84440000000000004</v>
      </c>
      <c r="F24" s="1">
        <v>0.82609999999999995</v>
      </c>
      <c r="G24" s="1">
        <v>0.86360000000000003</v>
      </c>
      <c r="H24">
        <v>19</v>
      </c>
      <c r="I24">
        <v>4</v>
      </c>
      <c r="J24">
        <v>274</v>
      </c>
      <c r="K24">
        <v>3</v>
      </c>
      <c r="L24">
        <v>1</v>
      </c>
      <c r="M24">
        <v>10</v>
      </c>
      <c r="N24" t="s">
        <v>20</v>
      </c>
      <c r="O24" s="1">
        <f t="shared" si="0"/>
        <v>45.454545454545453</v>
      </c>
      <c r="P24" s="1">
        <f t="shared" si="1"/>
        <v>7.6666666666666661E-2</v>
      </c>
    </row>
    <row r="25" spans="1:16" x14ac:dyDescent="0.3">
      <c r="A25" t="s">
        <v>31</v>
      </c>
      <c r="B25" t="s">
        <v>22</v>
      </c>
      <c r="C25" s="1">
        <v>0.52939999999999998</v>
      </c>
      <c r="D25" s="1">
        <v>0.97660000000000002</v>
      </c>
      <c r="E25" s="1">
        <v>0.48280000000000001</v>
      </c>
      <c r="F25" s="1">
        <v>0.35</v>
      </c>
      <c r="G25" s="1">
        <v>0.77780000000000005</v>
      </c>
      <c r="H25">
        <v>7</v>
      </c>
      <c r="I25">
        <v>13</v>
      </c>
      <c r="J25">
        <v>272</v>
      </c>
      <c r="K25">
        <v>2</v>
      </c>
      <c r="L25">
        <v>2</v>
      </c>
      <c r="M25">
        <v>6</v>
      </c>
      <c r="N25" t="s">
        <v>23</v>
      </c>
      <c r="O25" s="1">
        <f t="shared" si="0"/>
        <v>66.666666666666657</v>
      </c>
      <c r="P25" s="1">
        <f t="shared" si="1"/>
        <v>6.8027210884353748E-2</v>
      </c>
    </row>
    <row r="26" spans="1:16" x14ac:dyDescent="0.3">
      <c r="A26" t="s">
        <v>32</v>
      </c>
      <c r="B26" t="s">
        <v>17</v>
      </c>
      <c r="C26" s="1">
        <v>0.7823</v>
      </c>
      <c r="D26" s="1">
        <v>0.99519999999999997</v>
      </c>
      <c r="E26" s="1">
        <v>0.8</v>
      </c>
      <c r="F26" s="1">
        <v>0.66669999999999996</v>
      </c>
      <c r="G26" s="1">
        <v>1</v>
      </c>
      <c r="H26">
        <v>8</v>
      </c>
      <c r="I26">
        <v>4</v>
      </c>
      <c r="J26">
        <v>283</v>
      </c>
      <c r="K26">
        <v>0</v>
      </c>
      <c r="L26">
        <v>1</v>
      </c>
      <c r="M26">
        <v>8</v>
      </c>
      <c r="N26" t="s">
        <v>18</v>
      </c>
      <c r="O26" s="1">
        <f t="shared" si="0"/>
        <v>100</v>
      </c>
      <c r="P26" s="1">
        <f t="shared" si="1"/>
        <v>4.0677966101694912E-2</v>
      </c>
    </row>
    <row r="27" spans="1:16" x14ac:dyDescent="0.3">
      <c r="A27" t="s">
        <v>32</v>
      </c>
      <c r="B27" t="s">
        <v>19</v>
      </c>
      <c r="C27" s="1">
        <v>0.86760000000000004</v>
      </c>
      <c r="D27" s="1">
        <v>0.97199999999999998</v>
      </c>
      <c r="E27" s="1">
        <v>0.67859999999999998</v>
      </c>
      <c r="F27" s="1">
        <v>0.55879999999999996</v>
      </c>
      <c r="G27" s="1">
        <v>0.86360000000000003</v>
      </c>
      <c r="H27">
        <v>19</v>
      </c>
      <c r="I27">
        <v>15</v>
      </c>
      <c r="J27">
        <v>263</v>
      </c>
      <c r="K27">
        <v>3</v>
      </c>
      <c r="L27">
        <v>1</v>
      </c>
      <c r="M27">
        <v>10</v>
      </c>
      <c r="N27" t="s">
        <v>20</v>
      </c>
      <c r="O27" s="1">
        <f t="shared" si="0"/>
        <v>45.454545454545453</v>
      </c>
      <c r="P27" s="1">
        <f t="shared" si="1"/>
        <v>0.11333333333333333</v>
      </c>
    </row>
    <row r="28" spans="1:16" x14ac:dyDescent="0.3">
      <c r="A28" t="s">
        <v>32</v>
      </c>
      <c r="B28" t="s">
        <v>33</v>
      </c>
      <c r="C28" s="1">
        <v>0.52439999999999998</v>
      </c>
      <c r="D28" s="1">
        <v>0.92710000000000004</v>
      </c>
      <c r="E28" s="1">
        <v>0.57140000000000002</v>
      </c>
      <c r="F28" s="1">
        <v>0.42859999999999998</v>
      </c>
      <c r="G28" s="1">
        <v>0.85709999999999997</v>
      </c>
      <c r="H28">
        <v>12</v>
      </c>
      <c r="I28">
        <v>16</v>
      </c>
      <c r="J28">
        <v>267</v>
      </c>
      <c r="K28">
        <v>2</v>
      </c>
      <c r="L28">
        <v>2</v>
      </c>
      <c r="M28">
        <v>6</v>
      </c>
      <c r="N28" t="s">
        <v>23</v>
      </c>
      <c r="O28" s="1">
        <f t="shared" si="0"/>
        <v>42.857142857142854</v>
      </c>
      <c r="P28" s="1">
        <f t="shared" si="1"/>
        <v>9.4276094276094277E-2</v>
      </c>
    </row>
    <row r="29" spans="1:16" x14ac:dyDescent="0.3">
      <c r="A29" t="s">
        <v>34</v>
      </c>
      <c r="B29" t="s">
        <v>35</v>
      </c>
      <c r="C29" s="1">
        <v>0.80900000000000005</v>
      </c>
      <c r="D29" s="1">
        <v>0.98260000000000003</v>
      </c>
      <c r="E29" s="1">
        <v>0.625</v>
      </c>
      <c r="F29" s="1">
        <v>0.83330000000000004</v>
      </c>
      <c r="G29" s="1">
        <v>0.5</v>
      </c>
      <c r="H29">
        <v>5</v>
      </c>
      <c r="I29">
        <v>1</v>
      </c>
      <c r="J29">
        <v>292</v>
      </c>
      <c r="K29">
        <v>5</v>
      </c>
      <c r="L29">
        <v>1</v>
      </c>
      <c r="M29">
        <v>9</v>
      </c>
      <c r="N29" t="s">
        <v>18</v>
      </c>
      <c r="O29" s="1">
        <f t="shared" si="0"/>
        <v>90</v>
      </c>
      <c r="P29" s="1">
        <f t="shared" si="1"/>
        <v>1.9801980198019802E-2</v>
      </c>
    </row>
    <row r="30" spans="1:16" x14ac:dyDescent="0.3">
      <c r="A30" t="s">
        <v>34</v>
      </c>
      <c r="B30" t="s">
        <v>19</v>
      </c>
      <c r="C30" s="1">
        <v>0.8861</v>
      </c>
      <c r="D30" s="1">
        <v>0.97170000000000001</v>
      </c>
      <c r="E30" s="1">
        <v>0.77549999999999997</v>
      </c>
      <c r="F30" s="1">
        <v>0.70369999999999999</v>
      </c>
      <c r="G30" s="1">
        <v>0.86360000000000003</v>
      </c>
      <c r="H30">
        <v>19</v>
      </c>
      <c r="I30">
        <v>8</v>
      </c>
      <c r="J30">
        <v>270</v>
      </c>
      <c r="K30">
        <v>3</v>
      </c>
      <c r="L30">
        <v>1</v>
      </c>
      <c r="M30">
        <v>10</v>
      </c>
      <c r="N30" t="s">
        <v>20</v>
      </c>
      <c r="O30" s="1">
        <f t="shared" si="0"/>
        <v>45.454545454545453</v>
      </c>
      <c r="P30" s="1">
        <f t="shared" si="1"/>
        <v>0.09</v>
      </c>
    </row>
    <row r="31" spans="1:16" x14ac:dyDescent="0.3">
      <c r="A31" t="s">
        <v>34</v>
      </c>
      <c r="B31" t="s">
        <v>36</v>
      </c>
      <c r="C31" s="1">
        <v>0.41799999999999998</v>
      </c>
      <c r="D31" s="1">
        <v>0.91539999999999999</v>
      </c>
      <c r="E31" s="1">
        <v>0.44440000000000002</v>
      </c>
      <c r="F31" s="1">
        <v>0.375</v>
      </c>
      <c r="G31" s="1">
        <v>0.54549999999999998</v>
      </c>
      <c r="H31">
        <v>6</v>
      </c>
      <c r="I31">
        <v>10</v>
      </c>
      <c r="J31">
        <v>277</v>
      </c>
      <c r="K31">
        <v>5</v>
      </c>
      <c r="L31">
        <v>1</v>
      </c>
      <c r="M31">
        <v>3</v>
      </c>
      <c r="N31" t="s">
        <v>23</v>
      </c>
      <c r="O31" s="1">
        <f t="shared" si="0"/>
        <v>27.27272727272727</v>
      </c>
      <c r="P31" s="1">
        <f t="shared" si="1"/>
        <v>5.3691275167785234E-2</v>
      </c>
    </row>
    <row r="32" spans="1:16" x14ac:dyDescent="0.3">
      <c r="A32" t="s">
        <v>37</v>
      </c>
      <c r="B32" t="s">
        <v>17</v>
      </c>
      <c r="C32" s="1">
        <v>0.83889999999999998</v>
      </c>
      <c r="D32" s="1">
        <v>0.99609999999999999</v>
      </c>
      <c r="E32" s="1">
        <v>0.84209999999999996</v>
      </c>
      <c r="F32" s="1">
        <v>0.72729999999999995</v>
      </c>
      <c r="G32" s="1">
        <v>1</v>
      </c>
      <c r="H32">
        <v>8</v>
      </c>
      <c r="I32">
        <v>3</v>
      </c>
      <c r="J32">
        <v>284</v>
      </c>
      <c r="K32">
        <v>0</v>
      </c>
      <c r="L32">
        <v>1</v>
      </c>
      <c r="M32">
        <v>8</v>
      </c>
      <c r="N32" t="s">
        <v>18</v>
      </c>
      <c r="O32" s="1">
        <f t="shared" si="0"/>
        <v>100</v>
      </c>
      <c r="P32" s="1">
        <f t="shared" si="1"/>
        <v>3.7288135593220341E-2</v>
      </c>
    </row>
    <row r="33" spans="1:16" x14ac:dyDescent="0.3">
      <c r="A33" t="s">
        <v>37</v>
      </c>
      <c r="B33" t="s">
        <v>19</v>
      </c>
      <c r="C33" s="1">
        <v>0.86560000000000004</v>
      </c>
      <c r="D33" s="1">
        <v>0.92379999999999995</v>
      </c>
      <c r="E33" s="1">
        <v>0.84440000000000004</v>
      </c>
      <c r="F33" s="1">
        <v>0.82609999999999995</v>
      </c>
      <c r="G33" s="1">
        <v>0.86360000000000003</v>
      </c>
      <c r="H33">
        <v>19</v>
      </c>
      <c r="I33">
        <v>4</v>
      </c>
      <c r="J33">
        <v>274</v>
      </c>
      <c r="K33">
        <v>3</v>
      </c>
      <c r="L33">
        <v>1</v>
      </c>
      <c r="M33">
        <v>10</v>
      </c>
      <c r="N33" t="s">
        <v>20</v>
      </c>
      <c r="O33" s="1">
        <f t="shared" si="0"/>
        <v>45.454545454545453</v>
      </c>
      <c r="P33" s="1">
        <f t="shared" si="1"/>
        <v>7.6666666666666661E-2</v>
      </c>
    </row>
    <row r="34" spans="1:16" x14ac:dyDescent="0.3">
      <c r="A34" t="s">
        <v>37</v>
      </c>
      <c r="B34" t="s">
        <v>33</v>
      </c>
      <c r="C34" s="1">
        <v>0.44429999999999997</v>
      </c>
      <c r="D34" s="1">
        <v>0.88770000000000004</v>
      </c>
      <c r="E34" s="1">
        <v>0.34150000000000003</v>
      </c>
      <c r="F34" s="1">
        <v>0.25929999999999997</v>
      </c>
      <c r="G34" s="1">
        <v>0.5</v>
      </c>
      <c r="H34">
        <v>7</v>
      </c>
      <c r="I34">
        <v>20</v>
      </c>
      <c r="J34">
        <v>263</v>
      </c>
      <c r="K34">
        <v>7</v>
      </c>
      <c r="L34">
        <v>1</v>
      </c>
      <c r="M34">
        <v>5</v>
      </c>
      <c r="N34" t="s">
        <v>23</v>
      </c>
      <c r="O34" s="1">
        <f t="shared" si="0"/>
        <v>35.714285714285715</v>
      </c>
      <c r="P34" s="1">
        <f t="shared" si="1"/>
        <v>9.0909090909090912E-2</v>
      </c>
    </row>
    <row r="35" spans="1:16" x14ac:dyDescent="0.3">
      <c r="A35" t="s">
        <v>38</v>
      </c>
      <c r="B35" t="s">
        <v>17</v>
      </c>
      <c r="C35" s="1">
        <v>0.82399999999999995</v>
      </c>
      <c r="D35" s="1">
        <v>0.99560000000000004</v>
      </c>
      <c r="E35" s="1">
        <v>0.76190000000000002</v>
      </c>
      <c r="F35" s="1">
        <v>0.61539999999999995</v>
      </c>
      <c r="G35" s="1">
        <v>1</v>
      </c>
      <c r="H35">
        <v>8</v>
      </c>
      <c r="I35">
        <v>5</v>
      </c>
      <c r="J35">
        <v>282</v>
      </c>
      <c r="K35">
        <v>0</v>
      </c>
      <c r="L35">
        <v>1</v>
      </c>
      <c r="M35">
        <v>8</v>
      </c>
      <c r="N35" t="s">
        <v>18</v>
      </c>
      <c r="O35" s="1">
        <f t="shared" si="0"/>
        <v>100</v>
      </c>
      <c r="P35" s="1">
        <f t="shared" si="1"/>
        <v>4.4067796610169491E-2</v>
      </c>
    </row>
    <row r="36" spans="1:16" x14ac:dyDescent="0.3">
      <c r="A36" t="s">
        <v>38</v>
      </c>
      <c r="B36" t="s">
        <v>19</v>
      </c>
      <c r="C36" s="1">
        <v>0.86350000000000005</v>
      </c>
      <c r="D36" s="1">
        <v>0.93459999999999999</v>
      </c>
      <c r="E36" s="1">
        <v>0.79169999999999996</v>
      </c>
      <c r="F36" s="1">
        <v>0.73080000000000001</v>
      </c>
      <c r="G36" s="1">
        <v>0.86360000000000003</v>
      </c>
      <c r="H36">
        <v>19</v>
      </c>
      <c r="I36">
        <v>7</v>
      </c>
      <c r="J36">
        <v>271</v>
      </c>
      <c r="K36">
        <v>3</v>
      </c>
      <c r="L36">
        <v>1</v>
      </c>
      <c r="M36">
        <v>10</v>
      </c>
      <c r="N36" t="s">
        <v>20</v>
      </c>
      <c r="O36" s="1">
        <f t="shared" si="0"/>
        <v>45.454545454545453</v>
      </c>
      <c r="P36" s="1">
        <f t="shared" si="1"/>
        <v>8.666666666666667E-2</v>
      </c>
    </row>
    <row r="37" spans="1:16" x14ac:dyDescent="0.3">
      <c r="A37" t="s">
        <v>38</v>
      </c>
      <c r="B37" t="s">
        <v>39</v>
      </c>
      <c r="C37" s="1">
        <v>0.93179999999999996</v>
      </c>
      <c r="D37" s="1">
        <v>0.99419999999999997</v>
      </c>
      <c r="E37" s="1">
        <v>0.46429999999999999</v>
      </c>
      <c r="F37" s="1">
        <v>0.30230000000000001</v>
      </c>
      <c r="G37" s="1">
        <v>1</v>
      </c>
      <c r="H37">
        <v>13</v>
      </c>
      <c r="I37">
        <v>30</v>
      </c>
      <c r="J37">
        <v>250</v>
      </c>
      <c r="K37">
        <v>0</v>
      </c>
      <c r="L37">
        <v>1</v>
      </c>
      <c r="M37">
        <v>10</v>
      </c>
      <c r="N37" t="s">
        <v>23</v>
      </c>
      <c r="O37" s="1">
        <f t="shared" si="0"/>
        <v>76.923076923076934</v>
      </c>
      <c r="P37" s="1">
        <f t="shared" si="1"/>
        <v>0.14675767918088736</v>
      </c>
    </row>
    <row r="38" spans="1:16" x14ac:dyDescent="0.3">
      <c r="A38" t="s">
        <v>40</v>
      </c>
      <c r="B38" t="s">
        <v>35</v>
      </c>
      <c r="C38" s="1">
        <v>0.82179999999999997</v>
      </c>
      <c r="D38" s="1">
        <v>0.98089999999999999</v>
      </c>
      <c r="E38" s="1">
        <v>0.5333</v>
      </c>
      <c r="F38" s="1">
        <v>0.8</v>
      </c>
      <c r="G38" s="1">
        <v>0.4</v>
      </c>
      <c r="H38">
        <v>4</v>
      </c>
      <c r="I38">
        <v>1</v>
      </c>
      <c r="J38">
        <v>292</v>
      </c>
      <c r="K38">
        <v>6</v>
      </c>
      <c r="L38">
        <v>1</v>
      </c>
      <c r="M38">
        <v>7</v>
      </c>
      <c r="N38" t="s">
        <v>18</v>
      </c>
      <c r="O38" s="1">
        <f t="shared" si="0"/>
        <v>70</v>
      </c>
      <c r="P38" s="1">
        <f t="shared" si="1"/>
        <v>1.65016501650165E-2</v>
      </c>
    </row>
    <row r="39" spans="1:16" x14ac:dyDescent="0.3">
      <c r="A39" t="s">
        <v>40</v>
      </c>
      <c r="B39" t="s">
        <v>19</v>
      </c>
      <c r="C39" s="1">
        <v>0.87219999999999998</v>
      </c>
      <c r="D39" s="1">
        <v>0.96630000000000005</v>
      </c>
      <c r="E39" s="1">
        <v>0.75</v>
      </c>
      <c r="F39" s="1">
        <v>0.69230000000000003</v>
      </c>
      <c r="G39" s="1">
        <v>0.81820000000000004</v>
      </c>
      <c r="H39">
        <v>18</v>
      </c>
      <c r="I39">
        <v>8</v>
      </c>
      <c r="J39">
        <v>270</v>
      </c>
      <c r="K39">
        <v>4</v>
      </c>
      <c r="L39">
        <v>1</v>
      </c>
      <c r="M39">
        <v>10</v>
      </c>
      <c r="N39" t="s">
        <v>20</v>
      </c>
      <c r="O39" s="1">
        <f t="shared" si="0"/>
        <v>45.454545454545453</v>
      </c>
      <c r="P39" s="1">
        <f t="shared" si="1"/>
        <v>8.666666666666667E-2</v>
      </c>
    </row>
    <row r="40" spans="1:16" x14ac:dyDescent="0.3">
      <c r="A40" t="s">
        <v>40</v>
      </c>
      <c r="B40" t="s">
        <v>22</v>
      </c>
      <c r="C40" s="1">
        <v>0.47570000000000001</v>
      </c>
      <c r="D40" s="1">
        <v>0.92479999999999996</v>
      </c>
      <c r="E40" s="1">
        <v>0.5</v>
      </c>
      <c r="F40" s="1">
        <v>0.36840000000000001</v>
      </c>
      <c r="G40" s="1">
        <v>0.77780000000000005</v>
      </c>
      <c r="H40">
        <v>7</v>
      </c>
      <c r="I40">
        <v>12</v>
      </c>
      <c r="J40">
        <v>273</v>
      </c>
      <c r="K40">
        <v>2</v>
      </c>
      <c r="L40">
        <v>2</v>
      </c>
      <c r="M40">
        <v>5</v>
      </c>
      <c r="N40" t="s">
        <v>23</v>
      </c>
      <c r="O40" s="1">
        <f t="shared" si="0"/>
        <v>55.555555555555557</v>
      </c>
      <c r="P40" s="1">
        <f t="shared" si="1"/>
        <v>6.4625850340136057E-2</v>
      </c>
    </row>
    <row r="41" spans="1:16" x14ac:dyDescent="0.3">
      <c r="A41" t="s">
        <v>41</v>
      </c>
      <c r="B41" t="s">
        <v>19</v>
      </c>
      <c r="C41" s="1">
        <v>0.87090000000000001</v>
      </c>
      <c r="D41" s="1">
        <v>0.93589999999999995</v>
      </c>
      <c r="E41" s="1">
        <v>0.86360000000000003</v>
      </c>
      <c r="F41" s="1">
        <v>0.86360000000000003</v>
      </c>
      <c r="G41" s="1">
        <v>0.86360000000000003</v>
      </c>
      <c r="H41">
        <v>19</v>
      </c>
      <c r="I41">
        <v>3</v>
      </c>
      <c r="J41">
        <v>275</v>
      </c>
      <c r="K41">
        <v>3</v>
      </c>
      <c r="L41">
        <v>1</v>
      </c>
      <c r="M41">
        <v>10</v>
      </c>
      <c r="N41" t="s">
        <v>20</v>
      </c>
      <c r="O41" s="1">
        <f t="shared" si="0"/>
        <v>45.454545454545453</v>
      </c>
      <c r="P41" s="1">
        <f t="shared" si="1"/>
        <v>7.3333333333333334E-2</v>
      </c>
    </row>
    <row r="42" spans="1:16" x14ac:dyDescent="0.3">
      <c r="A42" t="s">
        <v>41</v>
      </c>
      <c r="B42" t="s">
        <v>39</v>
      </c>
      <c r="C42" s="1">
        <v>0.91539999999999999</v>
      </c>
      <c r="D42" s="1">
        <v>0.99480000000000002</v>
      </c>
      <c r="E42" s="1">
        <v>0.49059999999999998</v>
      </c>
      <c r="F42" s="1">
        <v>0.32500000000000001</v>
      </c>
      <c r="G42" s="1">
        <v>1</v>
      </c>
      <c r="H42">
        <v>13</v>
      </c>
      <c r="I42">
        <v>27</v>
      </c>
      <c r="J42">
        <v>253</v>
      </c>
      <c r="K42">
        <v>0</v>
      </c>
      <c r="L42">
        <v>1</v>
      </c>
      <c r="M42">
        <v>9</v>
      </c>
      <c r="N42" t="s">
        <v>23</v>
      </c>
      <c r="O42" s="1">
        <f t="shared" si="0"/>
        <v>69.230769230769226</v>
      </c>
      <c r="P42" s="1">
        <f t="shared" si="1"/>
        <v>0.13651877133105803</v>
      </c>
    </row>
    <row r="43" spans="1:16" x14ac:dyDescent="0.3">
      <c r="A43" t="s">
        <v>41</v>
      </c>
      <c r="B43" t="s">
        <v>42</v>
      </c>
      <c r="C43" s="1">
        <v>0.4143</v>
      </c>
      <c r="D43" s="1">
        <v>0.90159999999999996</v>
      </c>
      <c r="E43" s="1">
        <v>0.57779999999999998</v>
      </c>
      <c r="F43" s="1">
        <v>0.52</v>
      </c>
      <c r="G43" s="1">
        <v>0.65</v>
      </c>
      <c r="H43">
        <v>13</v>
      </c>
      <c r="I43">
        <v>12</v>
      </c>
      <c r="J43">
        <v>266</v>
      </c>
      <c r="K43">
        <v>7</v>
      </c>
      <c r="L43">
        <v>4</v>
      </c>
      <c r="M43">
        <v>5</v>
      </c>
      <c r="N43" t="s">
        <v>18</v>
      </c>
      <c r="O43" s="1">
        <f t="shared" si="0"/>
        <v>25</v>
      </c>
      <c r="P43" s="1">
        <f t="shared" si="1"/>
        <v>8.3892617449664433E-2</v>
      </c>
    </row>
    <row r="44" spans="1:16" x14ac:dyDescent="0.3">
      <c r="A44" t="s">
        <v>43</v>
      </c>
      <c r="B44" t="s">
        <v>17</v>
      </c>
      <c r="C44" s="1">
        <v>0.75119999999999998</v>
      </c>
      <c r="D44" s="1">
        <v>0.99560000000000004</v>
      </c>
      <c r="E44" s="1">
        <v>0.8</v>
      </c>
      <c r="F44" s="1">
        <v>0.66669999999999996</v>
      </c>
      <c r="G44" s="1">
        <v>1</v>
      </c>
      <c r="H44">
        <v>8</v>
      </c>
      <c r="I44">
        <v>4</v>
      </c>
      <c r="J44">
        <v>283</v>
      </c>
      <c r="K44">
        <v>0</v>
      </c>
      <c r="L44">
        <v>2</v>
      </c>
      <c r="M44">
        <v>7</v>
      </c>
      <c r="N44" t="s">
        <v>18</v>
      </c>
      <c r="O44" s="1">
        <f t="shared" si="0"/>
        <v>87.5</v>
      </c>
      <c r="P44" s="1">
        <f t="shared" si="1"/>
        <v>4.0677966101694912E-2</v>
      </c>
    </row>
    <row r="45" spans="1:16" x14ac:dyDescent="0.3">
      <c r="A45" t="s">
        <v>43</v>
      </c>
      <c r="B45" t="s">
        <v>19</v>
      </c>
      <c r="C45" s="1">
        <v>0.86370000000000002</v>
      </c>
      <c r="D45" s="1">
        <v>0.92669999999999997</v>
      </c>
      <c r="E45" s="1">
        <v>0.79169999999999996</v>
      </c>
      <c r="F45" s="1">
        <v>0.73080000000000001</v>
      </c>
      <c r="G45" s="1">
        <v>0.86360000000000003</v>
      </c>
      <c r="H45">
        <v>19</v>
      </c>
      <c r="I45">
        <v>7</v>
      </c>
      <c r="J45">
        <v>271</v>
      </c>
      <c r="K45">
        <v>3</v>
      </c>
      <c r="L45">
        <v>1</v>
      </c>
      <c r="M45">
        <v>10</v>
      </c>
      <c r="N45" t="s">
        <v>20</v>
      </c>
      <c r="O45" s="1">
        <f t="shared" si="0"/>
        <v>45.454545454545453</v>
      </c>
      <c r="P45" s="1">
        <f t="shared" si="1"/>
        <v>8.666666666666667E-2</v>
      </c>
    </row>
    <row r="46" spans="1:16" x14ac:dyDescent="0.3">
      <c r="A46" t="s">
        <v>43</v>
      </c>
      <c r="B46" t="s">
        <v>39</v>
      </c>
      <c r="C46" s="1">
        <v>0.89629999999999999</v>
      </c>
      <c r="D46" s="1">
        <v>0.9879</v>
      </c>
      <c r="E46" s="1">
        <v>0.43330000000000002</v>
      </c>
      <c r="F46" s="1">
        <v>0.27660000000000001</v>
      </c>
      <c r="G46" s="1">
        <v>1</v>
      </c>
      <c r="H46">
        <v>13</v>
      </c>
      <c r="I46">
        <v>34</v>
      </c>
      <c r="J46">
        <v>246</v>
      </c>
      <c r="K46">
        <v>0</v>
      </c>
      <c r="L46">
        <v>1</v>
      </c>
      <c r="M46">
        <v>10</v>
      </c>
      <c r="N46" t="s">
        <v>23</v>
      </c>
      <c r="O46" s="1">
        <f t="shared" si="0"/>
        <v>76.923076923076934</v>
      </c>
      <c r="P46" s="1">
        <f t="shared" si="1"/>
        <v>0.16040955631399317</v>
      </c>
    </row>
    <row r="47" spans="1:16" x14ac:dyDescent="0.3">
      <c r="A47" t="s">
        <v>44</v>
      </c>
      <c r="B47" t="s">
        <v>15</v>
      </c>
      <c r="C47" s="1">
        <v>0.73229999999999995</v>
      </c>
      <c r="D47" s="1">
        <v>0.99199999999999999</v>
      </c>
      <c r="E47" s="1">
        <v>0.2</v>
      </c>
      <c r="F47" s="1">
        <v>0.5</v>
      </c>
      <c r="G47" s="1">
        <v>0.125</v>
      </c>
      <c r="H47">
        <v>1</v>
      </c>
      <c r="I47">
        <v>1</v>
      </c>
      <c r="J47">
        <v>263</v>
      </c>
      <c r="K47">
        <v>7</v>
      </c>
      <c r="L47">
        <v>1</v>
      </c>
      <c r="M47">
        <v>7</v>
      </c>
      <c r="N47" t="s">
        <v>16</v>
      </c>
      <c r="O47" s="1">
        <f t="shared" si="0"/>
        <v>87.5</v>
      </c>
      <c r="P47" s="1">
        <f t="shared" si="1"/>
        <v>7.3529411764705881E-3</v>
      </c>
    </row>
    <row r="48" spans="1:16" x14ac:dyDescent="0.3">
      <c r="A48" t="s">
        <v>44</v>
      </c>
      <c r="B48" t="s">
        <v>35</v>
      </c>
      <c r="C48" s="1">
        <v>0.81969999999999998</v>
      </c>
      <c r="D48" s="1">
        <v>0.9829</v>
      </c>
      <c r="E48" s="1">
        <v>0.18179999999999999</v>
      </c>
      <c r="F48" s="1">
        <v>1</v>
      </c>
      <c r="G48" s="1">
        <v>0.1</v>
      </c>
      <c r="H48">
        <v>1</v>
      </c>
      <c r="I48">
        <v>0</v>
      </c>
      <c r="J48">
        <v>293</v>
      </c>
      <c r="K48">
        <v>9</v>
      </c>
      <c r="L48">
        <v>1</v>
      </c>
      <c r="M48">
        <v>8</v>
      </c>
      <c r="N48" t="s">
        <v>18</v>
      </c>
      <c r="O48" s="1">
        <f t="shared" si="0"/>
        <v>80</v>
      </c>
      <c r="P48" s="1">
        <f t="shared" si="1"/>
        <v>3.3003300330033004E-3</v>
      </c>
    </row>
    <row r="49" spans="1:16" x14ac:dyDescent="0.3">
      <c r="A49" t="s">
        <v>44</v>
      </c>
      <c r="B49" t="s">
        <v>19</v>
      </c>
      <c r="C49" s="1">
        <v>0.86860000000000004</v>
      </c>
      <c r="D49" s="1">
        <v>0.97119999999999995</v>
      </c>
      <c r="E49" s="1">
        <v>0.8085</v>
      </c>
      <c r="F49" s="1">
        <v>0.76</v>
      </c>
      <c r="G49" s="1">
        <v>0.86360000000000003</v>
      </c>
      <c r="H49">
        <v>19</v>
      </c>
      <c r="I49">
        <v>6</v>
      </c>
      <c r="J49">
        <v>272</v>
      </c>
      <c r="K49">
        <v>3</v>
      </c>
      <c r="L49">
        <v>1</v>
      </c>
      <c r="M49">
        <v>10</v>
      </c>
      <c r="N49" t="s">
        <v>20</v>
      </c>
      <c r="O49" s="1">
        <f t="shared" si="0"/>
        <v>45.454545454545453</v>
      </c>
      <c r="P49" s="1">
        <f t="shared" si="1"/>
        <v>8.3333333333333329E-2</v>
      </c>
    </row>
    <row r="50" spans="1:16" x14ac:dyDescent="0.3">
      <c r="A50" t="s">
        <v>45</v>
      </c>
      <c r="B50" t="s">
        <v>17</v>
      </c>
      <c r="C50" s="1">
        <v>0.78859999999999997</v>
      </c>
      <c r="D50" s="1">
        <v>0.99480000000000002</v>
      </c>
      <c r="E50" s="1">
        <v>0.84209999999999996</v>
      </c>
      <c r="F50" s="1">
        <v>0.72729999999999995</v>
      </c>
      <c r="G50" s="1">
        <v>1</v>
      </c>
      <c r="H50">
        <v>8</v>
      </c>
      <c r="I50">
        <v>3</v>
      </c>
      <c r="J50">
        <v>284</v>
      </c>
      <c r="K50">
        <v>0</v>
      </c>
      <c r="L50">
        <v>1</v>
      </c>
      <c r="M50">
        <v>8</v>
      </c>
      <c r="N50" t="s">
        <v>18</v>
      </c>
      <c r="O50" s="1">
        <f t="shared" si="0"/>
        <v>100</v>
      </c>
      <c r="P50" s="1">
        <f t="shared" si="1"/>
        <v>3.7288135593220341E-2</v>
      </c>
    </row>
    <row r="51" spans="1:16" x14ac:dyDescent="0.3">
      <c r="A51" t="s">
        <v>45</v>
      </c>
      <c r="B51" t="s">
        <v>19</v>
      </c>
      <c r="C51" s="1">
        <v>0.87709999999999999</v>
      </c>
      <c r="D51" s="1">
        <v>0.97250000000000003</v>
      </c>
      <c r="E51" s="1">
        <v>0.77549999999999997</v>
      </c>
      <c r="F51" s="1">
        <v>0.70369999999999999</v>
      </c>
      <c r="G51" s="1">
        <v>0.86360000000000003</v>
      </c>
      <c r="H51">
        <v>19</v>
      </c>
      <c r="I51">
        <v>8</v>
      </c>
      <c r="J51">
        <v>270</v>
      </c>
      <c r="K51">
        <v>3</v>
      </c>
      <c r="L51">
        <v>1</v>
      </c>
      <c r="M51">
        <v>10</v>
      </c>
      <c r="N51" t="s">
        <v>20</v>
      </c>
      <c r="O51" s="1">
        <f t="shared" si="0"/>
        <v>45.454545454545453</v>
      </c>
      <c r="P51" s="1">
        <f t="shared" si="1"/>
        <v>0.09</v>
      </c>
    </row>
    <row r="52" spans="1:16" x14ac:dyDescent="0.3">
      <c r="A52" t="s">
        <v>45</v>
      </c>
      <c r="B52" t="s">
        <v>39</v>
      </c>
      <c r="C52" s="1">
        <v>0.86270000000000002</v>
      </c>
      <c r="D52" s="1">
        <v>0.98760000000000003</v>
      </c>
      <c r="E52" s="1">
        <v>0.4194</v>
      </c>
      <c r="F52" s="1">
        <v>0.26529999999999998</v>
      </c>
      <c r="G52" s="1">
        <v>1</v>
      </c>
      <c r="H52">
        <v>13</v>
      </c>
      <c r="I52">
        <v>36</v>
      </c>
      <c r="J52">
        <v>244</v>
      </c>
      <c r="K52">
        <v>0</v>
      </c>
      <c r="L52">
        <v>1</v>
      </c>
      <c r="M52">
        <v>9</v>
      </c>
      <c r="N52" t="s">
        <v>23</v>
      </c>
      <c r="O52" s="1">
        <f t="shared" si="0"/>
        <v>69.230769230769226</v>
      </c>
      <c r="P52" s="1">
        <f t="shared" si="1"/>
        <v>0.16723549488054607</v>
      </c>
    </row>
    <row r="53" spans="1:16" x14ac:dyDescent="0.3">
      <c r="A53" t="s">
        <v>46</v>
      </c>
      <c r="B53" t="s">
        <v>30</v>
      </c>
      <c r="C53" s="1">
        <v>0.64290000000000003</v>
      </c>
      <c r="D53" s="1">
        <v>0.99319999999999997</v>
      </c>
      <c r="E53" s="1">
        <v>0.46150000000000002</v>
      </c>
      <c r="F53" s="1">
        <v>0.3</v>
      </c>
      <c r="G53" s="1">
        <v>1</v>
      </c>
      <c r="H53">
        <v>3</v>
      </c>
      <c r="I53">
        <v>7</v>
      </c>
      <c r="J53">
        <v>289</v>
      </c>
      <c r="K53">
        <v>0</v>
      </c>
      <c r="L53">
        <v>1</v>
      </c>
      <c r="M53">
        <v>3</v>
      </c>
      <c r="N53" t="s">
        <v>18</v>
      </c>
      <c r="O53" s="1">
        <f t="shared" si="0"/>
        <v>100</v>
      </c>
      <c r="P53" s="1">
        <f t="shared" si="1"/>
        <v>3.3444816053511704E-2</v>
      </c>
    </row>
    <row r="54" spans="1:16" x14ac:dyDescent="0.3">
      <c r="A54" t="s">
        <v>46</v>
      </c>
      <c r="B54" t="s">
        <v>19</v>
      </c>
      <c r="C54" s="1">
        <v>0.84830000000000005</v>
      </c>
      <c r="D54" s="1">
        <v>0.93620000000000003</v>
      </c>
      <c r="E54" s="1">
        <v>0.84440000000000004</v>
      </c>
      <c r="F54" s="1">
        <v>0.82609999999999995</v>
      </c>
      <c r="G54" s="1">
        <v>0.86360000000000003</v>
      </c>
      <c r="H54">
        <v>19</v>
      </c>
      <c r="I54">
        <v>4</v>
      </c>
      <c r="J54">
        <v>274</v>
      </c>
      <c r="K54">
        <v>3</v>
      </c>
      <c r="L54">
        <v>1</v>
      </c>
      <c r="M54">
        <v>10</v>
      </c>
      <c r="N54" t="s">
        <v>20</v>
      </c>
      <c r="O54" s="1">
        <f t="shared" si="0"/>
        <v>45.454545454545453</v>
      </c>
      <c r="P54" s="1">
        <f t="shared" si="1"/>
        <v>7.6666666666666661E-2</v>
      </c>
    </row>
    <row r="55" spans="1:16" x14ac:dyDescent="0.3">
      <c r="A55" t="s">
        <v>46</v>
      </c>
      <c r="B55" t="s">
        <v>39</v>
      </c>
      <c r="C55" s="1">
        <v>0.90649999999999997</v>
      </c>
      <c r="D55" s="1">
        <v>0.99309999999999998</v>
      </c>
      <c r="E55" s="1">
        <v>0.46429999999999999</v>
      </c>
      <c r="F55" s="1">
        <v>0.30230000000000001</v>
      </c>
      <c r="G55" s="1">
        <v>1</v>
      </c>
      <c r="H55">
        <v>13</v>
      </c>
      <c r="I55">
        <v>30</v>
      </c>
      <c r="J55">
        <v>250</v>
      </c>
      <c r="K55">
        <v>0</v>
      </c>
      <c r="L55">
        <v>1</v>
      </c>
      <c r="M55">
        <v>10</v>
      </c>
      <c r="N55" t="s">
        <v>23</v>
      </c>
      <c r="O55" s="1">
        <f t="shared" si="0"/>
        <v>76.923076923076934</v>
      </c>
      <c r="P55" s="1">
        <f t="shared" si="1"/>
        <v>0.14675767918088736</v>
      </c>
    </row>
    <row r="56" spans="1:16" x14ac:dyDescent="0.3">
      <c r="A56" t="s">
        <v>47</v>
      </c>
      <c r="B56" t="s">
        <v>35</v>
      </c>
      <c r="C56" s="1">
        <v>0.84950000000000003</v>
      </c>
      <c r="D56" s="1">
        <v>0.97750000000000004</v>
      </c>
      <c r="E56" s="1">
        <v>0.5333</v>
      </c>
      <c r="F56" s="1">
        <v>0.8</v>
      </c>
      <c r="G56" s="1">
        <v>0.4</v>
      </c>
      <c r="H56">
        <v>4</v>
      </c>
      <c r="I56">
        <v>1</v>
      </c>
      <c r="J56">
        <v>292</v>
      </c>
      <c r="K56">
        <v>6</v>
      </c>
      <c r="L56">
        <v>1</v>
      </c>
      <c r="M56">
        <v>9</v>
      </c>
      <c r="N56" t="s">
        <v>18</v>
      </c>
      <c r="O56" s="1">
        <f t="shared" si="0"/>
        <v>90</v>
      </c>
      <c r="P56" s="1">
        <f t="shared" si="1"/>
        <v>1.65016501650165E-2</v>
      </c>
    </row>
    <row r="57" spans="1:16" x14ac:dyDescent="0.3">
      <c r="A57" t="s">
        <v>47</v>
      </c>
      <c r="B57" t="s">
        <v>19</v>
      </c>
      <c r="C57" s="1">
        <v>0.87139999999999995</v>
      </c>
      <c r="D57" s="1">
        <v>0.96909999999999996</v>
      </c>
      <c r="E57" s="1">
        <v>0.71699999999999997</v>
      </c>
      <c r="F57" s="1">
        <v>0.6129</v>
      </c>
      <c r="G57" s="1">
        <v>0.86360000000000003</v>
      </c>
      <c r="H57">
        <v>19</v>
      </c>
      <c r="I57">
        <v>12</v>
      </c>
      <c r="J57">
        <v>266</v>
      </c>
      <c r="K57">
        <v>3</v>
      </c>
      <c r="L57">
        <v>1</v>
      </c>
      <c r="M57">
        <v>10</v>
      </c>
      <c r="N57" t="s">
        <v>20</v>
      </c>
      <c r="O57" s="1">
        <f t="shared" si="0"/>
        <v>45.454545454545453</v>
      </c>
      <c r="P57" s="1">
        <f t="shared" si="1"/>
        <v>0.10333333333333333</v>
      </c>
    </row>
    <row r="58" spans="1:16" x14ac:dyDescent="0.3">
      <c r="A58" t="s">
        <v>47</v>
      </c>
      <c r="B58" t="s">
        <v>33</v>
      </c>
      <c r="C58" s="1">
        <v>0.57469999999999999</v>
      </c>
      <c r="D58" s="1">
        <v>0.92100000000000004</v>
      </c>
      <c r="E58" s="1">
        <v>0.5</v>
      </c>
      <c r="F58" s="1">
        <v>0.3846</v>
      </c>
      <c r="G58" s="1">
        <v>0.71430000000000005</v>
      </c>
      <c r="H58">
        <v>10</v>
      </c>
      <c r="I58">
        <v>16</v>
      </c>
      <c r="J58">
        <v>267</v>
      </c>
      <c r="K58">
        <v>4</v>
      </c>
      <c r="L58">
        <v>1</v>
      </c>
      <c r="M58">
        <v>7</v>
      </c>
      <c r="N58" t="s">
        <v>23</v>
      </c>
      <c r="O58" s="1">
        <f t="shared" si="0"/>
        <v>50</v>
      </c>
      <c r="P58" s="1">
        <f t="shared" si="1"/>
        <v>8.7542087542087546E-2</v>
      </c>
    </row>
    <row r="59" spans="1:16" x14ac:dyDescent="0.3">
      <c r="A59" t="s">
        <v>48</v>
      </c>
      <c r="B59" t="s">
        <v>17</v>
      </c>
      <c r="C59" s="1">
        <v>0.85529999999999995</v>
      </c>
      <c r="D59" s="1">
        <v>0.99609999999999999</v>
      </c>
      <c r="E59" s="1">
        <v>0.76190000000000002</v>
      </c>
      <c r="F59" s="1">
        <v>0.61539999999999995</v>
      </c>
      <c r="G59" s="1">
        <v>1</v>
      </c>
      <c r="H59">
        <v>8</v>
      </c>
      <c r="I59">
        <v>5</v>
      </c>
      <c r="J59">
        <v>282</v>
      </c>
      <c r="K59">
        <v>0</v>
      </c>
      <c r="L59">
        <v>1</v>
      </c>
      <c r="M59">
        <v>8</v>
      </c>
      <c r="N59" t="s">
        <v>18</v>
      </c>
      <c r="O59" s="1">
        <f t="shared" si="0"/>
        <v>100</v>
      </c>
      <c r="P59" s="1">
        <f t="shared" si="1"/>
        <v>4.4067796610169491E-2</v>
      </c>
    </row>
    <row r="60" spans="1:16" x14ac:dyDescent="0.3">
      <c r="A60" t="s">
        <v>48</v>
      </c>
      <c r="B60" t="s">
        <v>19</v>
      </c>
      <c r="C60" s="1">
        <v>0.87309999999999999</v>
      </c>
      <c r="D60" s="1">
        <v>0.92430000000000001</v>
      </c>
      <c r="E60" s="1">
        <v>0.86360000000000003</v>
      </c>
      <c r="F60" s="1">
        <v>0.86360000000000003</v>
      </c>
      <c r="G60" s="1">
        <v>0.86360000000000003</v>
      </c>
      <c r="H60">
        <v>19</v>
      </c>
      <c r="I60">
        <v>3</v>
      </c>
      <c r="J60">
        <v>275</v>
      </c>
      <c r="K60">
        <v>3</v>
      </c>
      <c r="L60">
        <v>1</v>
      </c>
      <c r="M60">
        <v>10</v>
      </c>
      <c r="N60" t="s">
        <v>20</v>
      </c>
      <c r="O60" s="1">
        <f t="shared" si="0"/>
        <v>45.454545454545453</v>
      </c>
      <c r="P60" s="1">
        <f t="shared" si="1"/>
        <v>7.3333333333333334E-2</v>
      </c>
    </row>
    <row r="61" spans="1:16" x14ac:dyDescent="0.3">
      <c r="A61" t="s">
        <v>48</v>
      </c>
      <c r="B61" t="s">
        <v>36</v>
      </c>
      <c r="C61" s="1">
        <v>0.42720000000000002</v>
      </c>
      <c r="D61" s="1">
        <v>0.92620000000000002</v>
      </c>
      <c r="E61" s="1">
        <v>0.32</v>
      </c>
      <c r="F61" s="1">
        <v>0.2051</v>
      </c>
      <c r="G61" s="1">
        <v>0.72729999999999995</v>
      </c>
      <c r="H61">
        <v>8</v>
      </c>
      <c r="I61">
        <v>31</v>
      </c>
      <c r="J61">
        <v>256</v>
      </c>
      <c r="K61">
        <v>3</v>
      </c>
      <c r="L61">
        <v>1</v>
      </c>
      <c r="M61">
        <v>4</v>
      </c>
      <c r="N61" t="s">
        <v>23</v>
      </c>
      <c r="O61" s="1">
        <f t="shared" si="0"/>
        <v>36.363636363636367</v>
      </c>
      <c r="P61" s="1">
        <f t="shared" si="1"/>
        <v>0.13087248322147652</v>
      </c>
    </row>
    <row r="62" spans="1:16" x14ac:dyDescent="0.3">
      <c r="A62" t="s">
        <v>49</v>
      </c>
      <c r="B62" t="s">
        <v>19</v>
      </c>
      <c r="C62" s="1">
        <v>0.87209999999999999</v>
      </c>
      <c r="D62" s="1">
        <v>0.91869999999999996</v>
      </c>
      <c r="E62" s="1">
        <v>0.84440000000000004</v>
      </c>
      <c r="F62" s="1">
        <v>0.82609999999999995</v>
      </c>
      <c r="G62" s="1">
        <v>0.86360000000000003</v>
      </c>
      <c r="H62">
        <v>19</v>
      </c>
      <c r="I62">
        <v>4</v>
      </c>
      <c r="J62">
        <v>274</v>
      </c>
      <c r="K62">
        <v>3</v>
      </c>
      <c r="L62">
        <v>1</v>
      </c>
      <c r="M62">
        <v>10</v>
      </c>
      <c r="N62" t="s">
        <v>20</v>
      </c>
      <c r="O62" s="1">
        <f t="shared" si="0"/>
        <v>45.454545454545453</v>
      </c>
      <c r="P62" s="1">
        <f t="shared" si="1"/>
        <v>7.6666666666666661E-2</v>
      </c>
    </row>
    <row r="63" spans="1:16" x14ac:dyDescent="0.3">
      <c r="A63" t="s">
        <v>49</v>
      </c>
      <c r="B63" t="s">
        <v>39</v>
      </c>
      <c r="C63" s="1">
        <v>0.92500000000000004</v>
      </c>
      <c r="D63" s="1">
        <v>0.99260000000000004</v>
      </c>
      <c r="E63" s="1">
        <v>0.44829999999999998</v>
      </c>
      <c r="F63" s="1">
        <v>0.28889999999999999</v>
      </c>
      <c r="G63" s="1">
        <v>1</v>
      </c>
      <c r="H63">
        <v>13</v>
      </c>
      <c r="I63">
        <v>32</v>
      </c>
      <c r="J63">
        <v>248</v>
      </c>
      <c r="K63">
        <v>0</v>
      </c>
      <c r="L63">
        <v>1</v>
      </c>
      <c r="M63">
        <v>10</v>
      </c>
      <c r="N63" t="s">
        <v>23</v>
      </c>
      <c r="O63" s="1">
        <f t="shared" si="0"/>
        <v>76.923076923076934</v>
      </c>
      <c r="P63" s="1">
        <f t="shared" si="1"/>
        <v>0.15358361774744028</v>
      </c>
    </row>
    <row r="64" spans="1:16" x14ac:dyDescent="0.3">
      <c r="A64" t="s">
        <v>49</v>
      </c>
      <c r="B64" t="s">
        <v>42</v>
      </c>
      <c r="C64" s="1">
        <v>0.50560000000000005</v>
      </c>
      <c r="D64" s="1">
        <v>0.91120000000000001</v>
      </c>
      <c r="E64" s="1">
        <v>0.57140000000000002</v>
      </c>
      <c r="F64" s="1">
        <v>0.54549999999999998</v>
      </c>
      <c r="G64" s="1">
        <v>0.6</v>
      </c>
      <c r="H64">
        <v>12</v>
      </c>
      <c r="I64">
        <v>10</v>
      </c>
      <c r="J64">
        <v>268</v>
      </c>
      <c r="K64">
        <v>8</v>
      </c>
      <c r="L64">
        <v>2</v>
      </c>
      <c r="M64">
        <v>6</v>
      </c>
      <c r="N64" t="s">
        <v>18</v>
      </c>
      <c r="O64" s="1">
        <f t="shared" si="0"/>
        <v>30</v>
      </c>
      <c r="P64" s="1">
        <f t="shared" si="1"/>
        <v>7.3825503355704702E-2</v>
      </c>
    </row>
    <row r="65" spans="1:16" x14ac:dyDescent="0.3">
      <c r="A65" t="s">
        <v>50</v>
      </c>
      <c r="B65" t="s">
        <v>15</v>
      </c>
      <c r="C65" s="1">
        <v>0.3271</v>
      </c>
      <c r="D65" s="1">
        <v>0.92989999999999995</v>
      </c>
      <c r="E65" s="1">
        <v>0.45450000000000002</v>
      </c>
      <c r="F65" s="1">
        <v>0.35709999999999997</v>
      </c>
      <c r="G65" s="1">
        <v>0.625</v>
      </c>
      <c r="H65">
        <v>5</v>
      </c>
      <c r="I65">
        <v>9</v>
      </c>
      <c r="J65">
        <v>255</v>
      </c>
      <c r="K65">
        <v>3</v>
      </c>
      <c r="L65">
        <v>3</v>
      </c>
      <c r="M65">
        <v>3</v>
      </c>
      <c r="N65" t="s">
        <v>16</v>
      </c>
      <c r="O65" s="1">
        <f t="shared" si="0"/>
        <v>37.5</v>
      </c>
      <c r="P65" s="1">
        <f t="shared" si="1"/>
        <v>5.1470588235294115E-2</v>
      </c>
    </row>
    <row r="66" spans="1:16" x14ac:dyDescent="0.3">
      <c r="A66" t="s">
        <v>50</v>
      </c>
      <c r="B66" t="s">
        <v>19</v>
      </c>
      <c r="C66" s="1">
        <v>0.85729999999999995</v>
      </c>
      <c r="D66" s="1">
        <v>0.91479999999999995</v>
      </c>
      <c r="E66" s="1">
        <v>0.77549999999999997</v>
      </c>
      <c r="F66" s="1">
        <v>0.70369999999999999</v>
      </c>
      <c r="G66" s="1">
        <v>0.86360000000000003</v>
      </c>
      <c r="H66">
        <v>19</v>
      </c>
      <c r="I66">
        <v>8</v>
      </c>
      <c r="J66">
        <v>270</v>
      </c>
      <c r="K66">
        <v>3</v>
      </c>
      <c r="L66">
        <v>1</v>
      </c>
      <c r="M66">
        <v>10</v>
      </c>
      <c r="N66" t="s">
        <v>20</v>
      </c>
      <c r="O66" s="1">
        <f t="shared" si="0"/>
        <v>45.454545454545453</v>
      </c>
      <c r="P66" s="1">
        <f t="shared" si="1"/>
        <v>0.09</v>
      </c>
    </row>
    <row r="67" spans="1:16" x14ac:dyDescent="0.3">
      <c r="A67" t="s">
        <v>50</v>
      </c>
      <c r="B67" t="s">
        <v>39</v>
      </c>
      <c r="C67" s="1">
        <v>0.91590000000000005</v>
      </c>
      <c r="D67" s="1">
        <v>0.99419999999999997</v>
      </c>
      <c r="E67" s="1">
        <v>0.50980000000000003</v>
      </c>
      <c r="F67" s="1">
        <v>0.34210000000000002</v>
      </c>
      <c r="G67" s="1">
        <v>1</v>
      </c>
      <c r="H67">
        <v>13</v>
      </c>
      <c r="I67">
        <v>25</v>
      </c>
      <c r="J67">
        <v>255</v>
      </c>
      <c r="K67">
        <v>0</v>
      </c>
      <c r="L67">
        <v>1</v>
      </c>
      <c r="M67">
        <v>10</v>
      </c>
      <c r="N67" t="s">
        <v>23</v>
      </c>
      <c r="O67" s="1">
        <f t="shared" ref="O67:O130" si="2">M67/(H67+K67)*100</f>
        <v>76.923076923076934</v>
      </c>
      <c r="P67" s="1">
        <f t="shared" ref="P67:P130" si="3">(H67+I67)/(H67+I67+J67+K67)</f>
        <v>0.12969283276450511</v>
      </c>
    </row>
    <row r="68" spans="1:16" x14ac:dyDescent="0.3">
      <c r="A68" t="s">
        <v>51</v>
      </c>
      <c r="B68" t="s">
        <v>30</v>
      </c>
      <c r="C68" s="1">
        <v>0.8095</v>
      </c>
      <c r="D68" s="1">
        <v>0.99550000000000005</v>
      </c>
      <c r="E68" s="1">
        <v>0.46150000000000002</v>
      </c>
      <c r="F68" s="1">
        <v>0.3</v>
      </c>
      <c r="G68" s="1">
        <v>1</v>
      </c>
      <c r="H68">
        <v>3</v>
      </c>
      <c r="I68">
        <v>7</v>
      </c>
      <c r="J68">
        <v>289</v>
      </c>
      <c r="K68">
        <v>0</v>
      </c>
      <c r="L68">
        <v>1</v>
      </c>
      <c r="M68">
        <v>3</v>
      </c>
      <c r="N68" t="s">
        <v>18</v>
      </c>
      <c r="O68" s="1">
        <f t="shared" si="2"/>
        <v>100</v>
      </c>
      <c r="P68" s="1">
        <f t="shared" si="3"/>
        <v>3.3444816053511704E-2</v>
      </c>
    </row>
    <row r="69" spans="1:16" x14ac:dyDescent="0.3">
      <c r="A69" t="s">
        <v>51</v>
      </c>
      <c r="B69" t="s">
        <v>19</v>
      </c>
      <c r="C69" s="1">
        <v>0.84140000000000004</v>
      </c>
      <c r="D69" s="1">
        <v>0.9335</v>
      </c>
      <c r="E69" s="1">
        <v>0.79169999999999996</v>
      </c>
      <c r="F69" s="1">
        <v>0.73080000000000001</v>
      </c>
      <c r="G69" s="1">
        <v>0.86360000000000003</v>
      </c>
      <c r="H69">
        <v>19</v>
      </c>
      <c r="I69">
        <v>7</v>
      </c>
      <c r="J69">
        <v>271</v>
      </c>
      <c r="K69">
        <v>3</v>
      </c>
      <c r="L69">
        <v>1</v>
      </c>
      <c r="M69">
        <v>10</v>
      </c>
      <c r="N69" t="s">
        <v>20</v>
      </c>
      <c r="O69" s="1">
        <f t="shared" si="2"/>
        <v>45.454545454545453</v>
      </c>
      <c r="P69" s="1">
        <f t="shared" si="3"/>
        <v>8.666666666666667E-2</v>
      </c>
    </row>
    <row r="70" spans="1:16" x14ac:dyDescent="0.3">
      <c r="A70" t="s">
        <v>51</v>
      </c>
      <c r="B70" t="s">
        <v>39</v>
      </c>
      <c r="C70" s="1">
        <v>0.90300000000000002</v>
      </c>
      <c r="D70" s="1">
        <v>0.98960000000000004</v>
      </c>
      <c r="E70" s="1">
        <v>0.46429999999999999</v>
      </c>
      <c r="F70" s="1">
        <v>0.30230000000000001</v>
      </c>
      <c r="G70" s="1">
        <v>1</v>
      </c>
      <c r="H70">
        <v>13</v>
      </c>
      <c r="I70">
        <v>30</v>
      </c>
      <c r="J70">
        <v>250</v>
      </c>
      <c r="K70">
        <v>0</v>
      </c>
      <c r="L70">
        <v>1</v>
      </c>
      <c r="M70">
        <v>10</v>
      </c>
      <c r="N70" t="s">
        <v>23</v>
      </c>
      <c r="O70" s="1">
        <f t="shared" si="2"/>
        <v>76.923076923076934</v>
      </c>
      <c r="P70" s="1">
        <f t="shared" si="3"/>
        <v>0.14675767918088736</v>
      </c>
    </row>
    <row r="71" spans="1:16" x14ac:dyDescent="0.3">
      <c r="A71" t="s">
        <v>52</v>
      </c>
      <c r="B71" t="s">
        <v>15</v>
      </c>
      <c r="C71" s="1">
        <v>0.7177</v>
      </c>
      <c r="D71" s="1">
        <v>0.99199999999999999</v>
      </c>
      <c r="E71" s="1">
        <v>0.61539999999999995</v>
      </c>
      <c r="F71" s="1">
        <v>0.44440000000000002</v>
      </c>
      <c r="G71" s="1">
        <v>1</v>
      </c>
      <c r="H71">
        <v>8</v>
      </c>
      <c r="I71">
        <v>10</v>
      </c>
      <c r="J71">
        <v>254</v>
      </c>
      <c r="K71">
        <v>0</v>
      </c>
      <c r="L71">
        <v>1</v>
      </c>
      <c r="M71">
        <v>7</v>
      </c>
      <c r="N71" t="s">
        <v>16</v>
      </c>
      <c r="O71" s="1">
        <f t="shared" si="2"/>
        <v>87.5</v>
      </c>
      <c r="P71" s="1">
        <f t="shared" si="3"/>
        <v>6.6176470588235295E-2</v>
      </c>
    </row>
    <row r="72" spans="1:16" x14ac:dyDescent="0.3">
      <c r="A72" t="s">
        <v>52</v>
      </c>
      <c r="B72" t="s">
        <v>19</v>
      </c>
      <c r="C72" s="1">
        <v>0.85909999999999997</v>
      </c>
      <c r="D72" s="1">
        <v>0.96209999999999996</v>
      </c>
      <c r="E72" s="1">
        <v>0.8085</v>
      </c>
      <c r="F72" s="1">
        <v>0.76</v>
      </c>
      <c r="G72" s="1">
        <v>0.86360000000000003</v>
      </c>
      <c r="H72">
        <v>19</v>
      </c>
      <c r="I72">
        <v>6</v>
      </c>
      <c r="J72">
        <v>272</v>
      </c>
      <c r="K72">
        <v>3</v>
      </c>
      <c r="L72">
        <v>1</v>
      </c>
      <c r="M72">
        <v>10</v>
      </c>
      <c r="N72" t="s">
        <v>20</v>
      </c>
      <c r="O72" s="1">
        <f t="shared" si="2"/>
        <v>45.454545454545453</v>
      </c>
      <c r="P72" s="1">
        <f t="shared" si="3"/>
        <v>8.3333333333333329E-2</v>
      </c>
    </row>
    <row r="73" spans="1:16" x14ac:dyDescent="0.3">
      <c r="A73" t="s">
        <v>52</v>
      </c>
      <c r="B73" t="s">
        <v>39</v>
      </c>
      <c r="C73" s="1">
        <v>0.87309999999999999</v>
      </c>
      <c r="D73" s="1">
        <v>0.99150000000000005</v>
      </c>
      <c r="E73" s="1">
        <v>0.42620000000000002</v>
      </c>
      <c r="F73" s="1">
        <v>0.27079999999999999</v>
      </c>
      <c r="G73" s="1">
        <v>1</v>
      </c>
      <c r="H73">
        <v>13</v>
      </c>
      <c r="I73">
        <v>35</v>
      </c>
      <c r="J73">
        <v>245</v>
      </c>
      <c r="K73">
        <v>0</v>
      </c>
      <c r="L73">
        <v>1</v>
      </c>
      <c r="M73">
        <v>9</v>
      </c>
      <c r="N73" t="s">
        <v>23</v>
      </c>
      <c r="O73" s="1">
        <f t="shared" si="2"/>
        <v>69.230769230769226</v>
      </c>
      <c r="P73" s="1">
        <f t="shared" si="3"/>
        <v>0.16382252559726962</v>
      </c>
    </row>
    <row r="74" spans="1:16" x14ac:dyDescent="0.3">
      <c r="A74" t="s">
        <v>53</v>
      </c>
      <c r="B74" t="s">
        <v>54</v>
      </c>
      <c r="C74" s="1">
        <v>0.36159999999999998</v>
      </c>
      <c r="D74" s="1">
        <v>0.75970000000000004</v>
      </c>
      <c r="E74" s="1">
        <v>0.25</v>
      </c>
      <c r="F74" s="1">
        <v>0.16669999999999999</v>
      </c>
      <c r="G74" s="1">
        <v>0.5</v>
      </c>
      <c r="H74">
        <v>2</v>
      </c>
      <c r="I74">
        <v>10</v>
      </c>
      <c r="J74">
        <v>273</v>
      </c>
      <c r="K74">
        <v>2</v>
      </c>
      <c r="L74">
        <v>1</v>
      </c>
      <c r="M74">
        <v>2</v>
      </c>
      <c r="N74" t="s">
        <v>18</v>
      </c>
      <c r="O74" s="1">
        <f t="shared" si="2"/>
        <v>50</v>
      </c>
      <c r="P74" s="1">
        <f t="shared" si="3"/>
        <v>4.1811846689895474E-2</v>
      </c>
    </row>
    <row r="75" spans="1:16" x14ac:dyDescent="0.3">
      <c r="A75" t="s">
        <v>53</v>
      </c>
      <c r="B75" t="s">
        <v>19</v>
      </c>
      <c r="C75" s="1">
        <v>0.873</v>
      </c>
      <c r="D75" s="1">
        <v>0.93</v>
      </c>
      <c r="E75" s="1">
        <v>0.84440000000000004</v>
      </c>
      <c r="F75" s="1">
        <v>0.82609999999999995</v>
      </c>
      <c r="G75" s="1">
        <v>0.86360000000000003</v>
      </c>
      <c r="H75">
        <v>19</v>
      </c>
      <c r="I75">
        <v>4</v>
      </c>
      <c r="J75">
        <v>274</v>
      </c>
      <c r="K75">
        <v>3</v>
      </c>
      <c r="L75">
        <v>1</v>
      </c>
      <c r="M75">
        <v>10</v>
      </c>
      <c r="N75" t="s">
        <v>20</v>
      </c>
      <c r="O75" s="1">
        <f t="shared" si="2"/>
        <v>45.454545454545453</v>
      </c>
      <c r="P75" s="1">
        <f t="shared" si="3"/>
        <v>7.6666666666666661E-2</v>
      </c>
    </row>
    <row r="76" spans="1:16" x14ac:dyDescent="0.3">
      <c r="A76" t="s">
        <v>53</v>
      </c>
      <c r="B76" t="s">
        <v>39</v>
      </c>
      <c r="C76" s="1">
        <v>0.95579999999999998</v>
      </c>
      <c r="D76" s="1">
        <v>0.99780000000000002</v>
      </c>
      <c r="E76" s="1">
        <v>0.49059999999999998</v>
      </c>
      <c r="F76" s="1">
        <v>0.32500000000000001</v>
      </c>
      <c r="G76" s="1">
        <v>1</v>
      </c>
      <c r="H76">
        <v>13</v>
      </c>
      <c r="I76">
        <v>27</v>
      </c>
      <c r="J76">
        <v>253</v>
      </c>
      <c r="K76">
        <v>0</v>
      </c>
      <c r="L76">
        <v>1</v>
      </c>
      <c r="M76">
        <v>9</v>
      </c>
      <c r="N76" t="s">
        <v>23</v>
      </c>
      <c r="O76" s="1">
        <f t="shared" si="2"/>
        <v>69.230769230769226</v>
      </c>
      <c r="P76" s="1">
        <f t="shared" si="3"/>
        <v>0.13651877133105803</v>
      </c>
    </row>
    <row r="77" spans="1:16" x14ac:dyDescent="0.3">
      <c r="A77" t="s">
        <v>55</v>
      </c>
      <c r="B77" t="s">
        <v>19</v>
      </c>
      <c r="C77" s="1">
        <v>0.88019999999999998</v>
      </c>
      <c r="D77" s="1">
        <v>0.95269999999999999</v>
      </c>
      <c r="E77" s="1">
        <v>0.86360000000000003</v>
      </c>
      <c r="F77" s="1">
        <v>0.86360000000000003</v>
      </c>
      <c r="G77" s="1">
        <v>0.86360000000000003</v>
      </c>
      <c r="H77">
        <v>19</v>
      </c>
      <c r="I77">
        <v>3</v>
      </c>
      <c r="J77">
        <v>275</v>
      </c>
      <c r="K77">
        <v>3</v>
      </c>
      <c r="L77">
        <v>1</v>
      </c>
      <c r="M77">
        <v>10</v>
      </c>
      <c r="N77" t="s">
        <v>20</v>
      </c>
      <c r="O77" s="1">
        <f t="shared" si="2"/>
        <v>45.454545454545453</v>
      </c>
      <c r="P77" s="1">
        <f t="shared" si="3"/>
        <v>7.3333333333333334E-2</v>
      </c>
    </row>
    <row r="78" spans="1:16" x14ac:dyDescent="0.3">
      <c r="A78" t="s">
        <v>55</v>
      </c>
      <c r="B78" t="s">
        <v>56</v>
      </c>
      <c r="C78" s="1">
        <v>0.36830000000000002</v>
      </c>
      <c r="D78" s="1">
        <v>0.78959999999999997</v>
      </c>
      <c r="E78" s="1">
        <v>0.24</v>
      </c>
      <c r="F78" s="1">
        <v>0.21429999999999999</v>
      </c>
      <c r="G78" s="1">
        <v>0.2727</v>
      </c>
      <c r="H78">
        <v>3</v>
      </c>
      <c r="I78">
        <v>11</v>
      </c>
      <c r="J78">
        <v>272</v>
      </c>
      <c r="K78">
        <v>8</v>
      </c>
      <c r="L78">
        <v>1</v>
      </c>
      <c r="M78">
        <v>3</v>
      </c>
      <c r="N78" t="s">
        <v>18</v>
      </c>
      <c r="O78" s="1">
        <f t="shared" si="2"/>
        <v>27.27272727272727</v>
      </c>
      <c r="P78" s="1">
        <f t="shared" si="3"/>
        <v>4.7619047619047616E-2</v>
      </c>
    </row>
    <row r="79" spans="1:16" x14ac:dyDescent="0.3">
      <c r="A79" t="s">
        <v>55</v>
      </c>
      <c r="B79" t="s">
        <v>39</v>
      </c>
      <c r="C79" s="1">
        <v>0.94540000000000002</v>
      </c>
      <c r="D79" s="1">
        <v>0.99729999999999996</v>
      </c>
      <c r="E79" s="1">
        <v>0.53059999999999996</v>
      </c>
      <c r="F79" s="1">
        <v>0.36109999999999998</v>
      </c>
      <c r="G79" s="1">
        <v>1</v>
      </c>
      <c r="H79">
        <v>13</v>
      </c>
      <c r="I79">
        <v>23</v>
      </c>
      <c r="J79">
        <v>257</v>
      </c>
      <c r="K79">
        <v>0</v>
      </c>
      <c r="L79">
        <v>1</v>
      </c>
      <c r="M79">
        <v>9</v>
      </c>
      <c r="N79" t="s">
        <v>23</v>
      </c>
      <c r="O79" s="1">
        <f t="shared" si="2"/>
        <v>69.230769230769226</v>
      </c>
      <c r="P79" s="1">
        <f t="shared" si="3"/>
        <v>0.12286689419795221</v>
      </c>
    </row>
    <row r="80" spans="1:16" x14ac:dyDescent="0.3">
      <c r="A80" t="s">
        <v>57</v>
      </c>
      <c r="B80" t="s">
        <v>19</v>
      </c>
      <c r="C80" s="1">
        <v>0.85540000000000005</v>
      </c>
      <c r="D80" s="1">
        <v>0.96550000000000002</v>
      </c>
      <c r="E80" s="1">
        <v>0.70589999999999997</v>
      </c>
      <c r="F80" s="1">
        <v>0.62070000000000003</v>
      </c>
      <c r="G80" s="1">
        <v>0.81820000000000004</v>
      </c>
      <c r="H80">
        <v>18</v>
      </c>
      <c r="I80">
        <v>11</v>
      </c>
      <c r="J80">
        <v>267</v>
      </c>
      <c r="K80">
        <v>4</v>
      </c>
      <c r="L80">
        <v>1</v>
      </c>
      <c r="M80">
        <v>10</v>
      </c>
      <c r="N80" t="s">
        <v>20</v>
      </c>
      <c r="O80" s="1">
        <f t="shared" si="2"/>
        <v>45.454545454545453</v>
      </c>
      <c r="P80" s="1">
        <f t="shared" si="3"/>
        <v>9.6666666666666665E-2</v>
      </c>
    </row>
    <row r="81" spans="1:16" x14ac:dyDescent="0.3">
      <c r="A81" t="s">
        <v>57</v>
      </c>
      <c r="B81" t="s">
        <v>56</v>
      </c>
      <c r="C81" s="1">
        <v>0.58940000000000003</v>
      </c>
      <c r="D81" s="1">
        <v>0.94089999999999996</v>
      </c>
      <c r="E81" s="1">
        <v>0.5</v>
      </c>
      <c r="F81" s="1">
        <v>0.8</v>
      </c>
      <c r="G81" s="1">
        <v>0.36359999999999998</v>
      </c>
      <c r="H81">
        <v>4</v>
      </c>
      <c r="I81">
        <v>1</v>
      </c>
      <c r="J81">
        <v>282</v>
      </c>
      <c r="K81">
        <v>7</v>
      </c>
      <c r="L81">
        <v>1</v>
      </c>
      <c r="M81">
        <v>5</v>
      </c>
      <c r="N81" t="s">
        <v>18</v>
      </c>
      <c r="O81" s="1">
        <f t="shared" si="2"/>
        <v>45.454545454545453</v>
      </c>
      <c r="P81" s="1">
        <f t="shared" si="3"/>
        <v>1.7006802721088437E-2</v>
      </c>
    </row>
    <row r="82" spans="1:16" x14ac:dyDescent="0.3">
      <c r="A82" t="s">
        <v>57</v>
      </c>
      <c r="B82" t="s">
        <v>39</v>
      </c>
      <c r="C82" s="1">
        <v>0.86729999999999996</v>
      </c>
      <c r="D82" s="1">
        <v>0.99039999999999995</v>
      </c>
      <c r="E82" s="1">
        <v>0.5</v>
      </c>
      <c r="F82" s="1">
        <v>0.33329999999999999</v>
      </c>
      <c r="G82" s="1">
        <v>1</v>
      </c>
      <c r="H82">
        <v>13</v>
      </c>
      <c r="I82">
        <v>26</v>
      </c>
      <c r="J82">
        <v>254</v>
      </c>
      <c r="K82">
        <v>0</v>
      </c>
      <c r="L82">
        <v>1</v>
      </c>
      <c r="M82">
        <v>9</v>
      </c>
      <c r="N82" t="s">
        <v>23</v>
      </c>
      <c r="O82" s="1">
        <f t="shared" si="2"/>
        <v>69.230769230769226</v>
      </c>
      <c r="P82" s="1">
        <f t="shared" si="3"/>
        <v>0.13310580204778158</v>
      </c>
    </row>
    <row r="83" spans="1:16" x14ac:dyDescent="0.3">
      <c r="A83" t="s">
        <v>58</v>
      </c>
      <c r="B83" t="s">
        <v>30</v>
      </c>
      <c r="C83" s="1">
        <v>0.91669999999999996</v>
      </c>
      <c r="D83" s="1">
        <v>0.99890000000000001</v>
      </c>
      <c r="E83" s="1">
        <v>0.46150000000000002</v>
      </c>
      <c r="F83" s="1">
        <v>0.3</v>
      </c>
      <c r="G83" s="1">
        <v>1</v>
      </c>
      <c r="H83">
        <v>3</v>
      </c>
      <c r="I83">
        <v>7</v>
      </c>
      <c r="J83">
        <v>289</v>
      </c>
      <c r="K83">
        <v>0</v>
      </c>
      <c r="L83">
        <v>1</v>
      </c>
      <c r="M83">
        <v>3</v>
      </c>
      <c r="N83" t="s">
        <v>18</v>
      </c>
      <c r="O83" s="1">
        <f t="shared" si="2"/>
        <v>100</v>
      </c>
      <c r="P83" s="1">
        <f t="shared" si="3"/>
        <v>3.3444816053511704E-2</v>
      </c>
    </row>
    <row r="84" spans="1:16" x14ac:dyDescent="0.3">
      <c r="A84" t="s">
        <v>58</v>
      </c>
      <c r="B84" t="s">
        <v>19</v>
      </c>
      <c r="C84" s="1">
        <v>0.85160000000000002</v>
      </c>
      <c r="D84" s="1">
        <v>0.92090000000000005</v>
      </c>
      <c r="E84" s="1">
        <v>0.76</v>
      </c>
      <c r="F84" s="1">
        <v>0.67859999999999998</v>
      </c>
      <c r="G84" s="1">
        <v>0.86360000000000003</v>
      </c>
      <c r="H84">
        <v>19</v>
      </c>
      <c r="I84">
        <v>9</v>
      </c>
      <c r="J84">
        <v>269</v>
      </c>
      <c r="K84">
        <v>3</v>
      </c>
      <c r="L84">
        <v>1</v>
      </c>
      <c r="M84">
        <v>10</v>
      </c>
      <c r="N84" t="s">
        <v>20</v>
      </c>
      <c r="O84" s="1">
        <f t="shared" si="2"/>
        <v>45.454545454545453</v>
      </c>
      <c r="P84" s="1">
        <f t="shared" si="3"/>
        <v>9.3333333333333338E-2</v>
      </c>
    </row>
    <row r="85" spans="1:16" x14ac:dyDescent="0.3">
      <c r="A85" t="s">
        <v>58</v>
      </c>
      <c r="B85" t="s">
        <v>26</v>
      </c>
      <c r="C85" s="1">
        <v>0.5161</v>
      </c>
      <c r="D85" s="1">
        <v>0.94610000000000005</v>
      </c>
      <c r="E85" s="1">
        <v>0.2727</v>
      </c>
      <c r="F85" s="1">
        <v>0.16669999999999999</v>
      </c>
      <c r="G85" s="1">
        <v>0.75</v>
      </c>
      <c r="H85">
        <v>3</v>
      </c>
      <c r="I85">
        <v>15</v>
      </c>
      <c r="J85">
        <v>277</v>
      </c>
      <c r="K85">
        <v>1</v>
      </c>
      <c r="L85">
        <v>1</v>
      </c>
      <c r="M85">
        <v>3</v>
      </c>
      <c r="N85" t="s">
        <v>23</v>
      </c>
      <c r="O85" s="1">
        <f t="shared" si="2"/>
        <v>75</v>
      </c>
      <c r="P85" s="1">
        <f t="shared" si="3"/>
        <v>6.0810810810810814E-2</v>
      </c>
    </row>
    <row r="86" spans="1:16" x14ac:dyDescent="0.3">
      <c r="A86" t="s">
        <v>59</v>
      </c>
      <c r="B86" t="s">
        <v>30</v>
      </c>
      <c r="C86" s="1">
        <v>1</v>
      </c>
      <c r="D86" s="1">
        <v>1</v>
      </c>
      <c r="E86" s="1">
        <v>0.46150000000000002</v>
      </c>
      <c r="F86" s="1">
        <v>0.3</v>
      </c>
      <c r="G86" s="1">
        <v>1</v>
      </c>
      <c r="H86">
        <v>3</v>
      </c>
      <c r="I86">
        <v>7</v>
      </c>
      <c r="J86">
        <v>289</v>
      </c>
      <c r="K86">
        <v>0</v>
      </c>
      <c r="L86">
        <v>1</v>
      </c>
      <c r="M86">
        <v>3</v>
      </c>
      <c r="N86" t="s">
        <v>18</v>
      </c>
      <c r="O86" s="1">
        <f t="shared" si="2"/>
        <v>100</v>
      </c>
      <c r="P86" s="1">
        <f t="shared" si="3"/>
        <v>3.3444816053511704E-2</v>
      </c>
    </row>
    <row r="87" spans="1:16" x14ac:dyDescent="0.3">
      <c r="A87" t="s">
        <v>59</v>
      </c>
      <c r="B87" t="s">
        <v>19</v>
      </c>
      <c r="C87" s="1">
        <v>0.87209999999999999</v>
      </c>
      <c r="D87" s="1">
        <v>0.93130000000000002</v>
      </c>
      <c r="E87" s="1">
        <v>0.79169999999999996</v>
      </c>
      <c r="F87" s="1">
        <v>0.73080000000000001</v>
      </c>
      <c r="G87" s="1">
        <v>0.86360000000000003</v>
      </c>
      <c r="H87">
        <v>19</v>
      </c>
      <c r="I87">
        <v>7</v>
      </c>
      <c r="J87">
        <v>271</v>
      </c>
      <c r="K87">
        <v>3</v>
      </c>
      <c r="L87">
        <v>1</v>
      </c>
      <c r="M87">
        <v>10</v>
      </c>
      <c r="N87" t="s">
        <v>20</v>
      </c>
      <c r="O87" s="1">
        <f t="shared" si="2"/>
        <v>45.454545454545453</v>
      </c>
      <c r="P87" s="1">
        <f t="shared" si="3"/>
        <v>8.666666666666667E-2</v>
      </c>
    </row>
    <row r="88" spans="1:16" x14ac:dyDescent="0.3">
      <c r="A88" t="s">
        <v>59</v>
      </c>
      <c r="B88" t="s">
        <v>26</v>
      </c>
      <c r="C88" s="1">
        <v>0.44640000000000002</v>
      </c>
      <c r="D88" s="1">
        <v>0.94430000000000003</v>
      </c>
      <c r="E88" s="1">
        <v>0.24</v>
      </c>
      <c r="F88" s="1">
        <v>0.1429</v>
      </c>
      <c r="G88" s="1">
        <v>0.75</v>
      </c>
      <c r="H88">
        <v>3</v>
      </c>
      <c r="I88">
        <v>18</v>
      </c>
      <c r="J88">
        <v>274</v>
      </c>
      <c r="K88">
        <v>1</v>
      </c>
      <c r="L88">
        <v>1</v>
      </c>
      <c r="M88">
        <v>2</v>
      </c>
      <c r="N88" t="s">
        <v>23</v>
      </c>
      <c r="O88" s="1">
        <f t="shared" si="2"/>
        <v>50</v>
      </c>
      <c r="P88" s="1">
        <f t="shared" si="3"/>
        <v>7.0945945945945943E-2</v>
      </c>
    </row>
    <row r="89" spans="1:16" x14ac:dyDescent="0.3">
      <c r="A89" t="s">
        <v>60</v>
      </c>
      <c r="B89" t="s">
        <v>35</v>
      </c>
      <c r="C89" s="1">
        <v>0.72460000000000002</v>
      </c>
      <c r="D89" s="1">
        <v>0.98089999999999999</v>
      </c>
      <c r="E89" s="1">
        <v>0.42859999999999998</v>
      </c>
      <c r="F89" s="1">
        <v>0.75</v>
      </c>
      <c r="G89" s="1">
        <v>0.3</v>
      </c>
      <c r="H89">
        <v>3</v>
      </c>
      <c r="I89">
        <v>1</v>
      </c>
      <c r="J89">
        <v>292</v>
      </c>
      <c r="K89">
        <v>7</v>
      </c>
      <c r="L89">
        <v>2</v>
      </c>
      <c r="M89">
        <v>9</v>
      </c>
      <c r="N89" t="s">
        <v>18</v>
      </c>
      <c r="O89" s="1">
        <f t="shared" si="2"/>
        <v>90</v>
      </c>
      <c r="P89" s="1">
        <f t="shared" si="3"/>
        <v>1.3201320132013201E-2</v>
      </c>
    </row>
    <row r="90" spans="1:16" x14ac:dyDescent="0.3">
      <c r="A90" t="s">
        <v>60</v>
      </c>
      <c r="B90" t="s">
        <v>19</v>
      </c>
      <c r="C90" s="1">
        <v>0.87329999999999997</v>
      </c>
      <c r="D90" s="1">
        <v>0.96840000000000004</v>
      </c>
      <c r="E90" s="1">
        <v>0.78259999999999996</v>
      </c>
      <c r="F90" s="1">
        <v>0.75</v>
      </c>
      <c r="G90" s="1">
        <v>0.81820000000000004</v>
      </c>
      <c r="H90">
        <v>18</v>
      </c>
      <c r="I90">
        <v>6</v>
      </c>
      <c r="J90">
        <v>272</v>
      </c>
      <c r="K90">
        <v>4</v>
      </c>
      <c r="L90">
        <v>1</v>
      </c>
      <c r="M90">
        <v>10</v>
      </c>
      <c r="N90" t="s">
        <v>20</v>
      </c>
      <c r="O90" s="1">
        <f t="shared" si="2"/>
        <v>45.454545454545453</v>
      </c>
      <c r="P90" s="1">
        <f t="shared" si="3"/>
        <v>0.08</v>
      </c>
    </row>
    <row r="91" spans="1:16" x14ac:dyDescent="0.3">
      <c r="A91" t="s">
        <v>60</v>
      </c>
      <c r="B91" t="s">
        <v>39</v>
      </c>
      <c r="C91" s="1">
        <v>0.87209999999999999</v>
      </c>
      <c r="D91" s="1">
        <v>0.98819999999999997</v>
      </c>
      <c r="E91" s="1">
        <v>0.44829999999999998</v>
      </c>
      <c r="F91" s="1">
        <v>0.28889999999999999</v>
      </c>
      <c r="G91" s="1">
        <v>1</v>
      </c>
      <c r="H91">
        <v>13</v>
      </c>
      <c r="I91">
        <v>32</v>
      </c>
      <c r="J91">
        <v>248</v>
      </c>
      <c r="K91">
        <v>0</v>
      </c>
      <c r="L91">
        <v>1</v>
      </c>
      <c r="M91">
        <v>9</v>
      </c>
      <c r="N91" t="s">
        <v>23</v>
      </c>
      <c r="O91" s="1">
        <f t="shared" si="2"/>
        <v>69.230769230769226</v>
      </c>
      <c r="P91" s="1">
        <f t="shared" si="3"/>
        <v>0.15358361774744028</v>
      </c>
    </row>
    <row r="92" spans="1:16" x14ac:dyDescent="0.3">
      <c r="A92" t="s">
        <v>61</v>
      </c>
      <c r="B92" t="s">
        <v>35</v>
      </c>
      <c r="C92" s="1">
        <v>0.83079999999999998</v>
      </c>
      <c r="D92" s="1">
        <v>0.97919999999999996</v>
      </c>
      <c r="E92" s="1">
        <v>0.5333</v>
      </c>
      <c r="F92" s="1">
        <v>0.8</v>
      </c>
      <c r="G92" s="1">
        <v>0.4</v>
      </c>
      <c r="H92">
        <v>4</v>
      </c>
      <c r="I92">
        <v>1</v>
      </c>
      <c r="J92">
        <v>292</v>
      </c>
      <c r="K92">
        <v>6</v>
      </c>
      <c r="L92">
        <v>1</v>
      </c>
      <c r="M92">
        <v>9</v>
      </c>
      <c r="N92" t="s">
        <v>18</v>
      </c>
      <c r="O92" s="1">
        <f t="shared" si="2"/>
        <v>90</v>
      </c>
      <c r="P92" s="1">
        <f t="shared" si="3"/>
        <v>1.65016501650165E-2</v>
      </c>
    </row>
    <row r="93" spans="1:16" x14ac:dyDescent="0.3">
      <c r="A93" t="s">
        <v>61</v>
      </c>
      <c r="B93" t="s">
        <v>19</v>
      </c>
      <c r="C93" s="1">
        <v>0.87160000000000004</v>
      </c>
      <c r="D93" s="1">
        <v>0.96519999999999995</v>
      </c>
      <c r="E93" s="1">
        <v>0.74509999999999998</v>
      </c>
      <c r="F93" s="1">
        <v>0.6552</v>
      </c>
      <c r="G93" s="1">
        <v>0.86360000000000003</v>
      </c>
      <c r="H93">
        <v>19</v>
      </c>
      <c r="I93">
        <v>10</v>
      </c>
      <c r="J93">
        <v>268</v>
      </c>
      <c r="K93">
        <v>3</v>
      </c>
      <c r="L93">
        <v>1</v>
      </c>
      <c r="M93">
        <v>10</v>
      </c>
      <c r="N93" t="s">
        <v>20</v>
      </c>
      <c r="O93" s="1">
        <f t="shared" si="2"/>
        <v>45.454545454545453</v>
      </c>
      <c r="P93" s="1">
        <f t="shared" si="3"/>
        <v>9.6666666666666665E-2</v>
      </c>
    </row>
    <row r="94" spans="1:16" x14ac:dyDescent="0.3">
      <c r="A94" t="s">
        <v>61</v>
      </c>
      <c r="B94" t="s">
        <v>26</v>
      </c>
      <c r="C94" s="1">
        <v>0.52859999999999996</v>
      </c>
      <c r="D94" s="1">
        <v>0.96750000000000003</v>
      </c>
      <c r="E94" s="1">
        <v>0.23080000000000001</v>
      </c>
      <c r="F94" s="1">
        <v>0.13639999999999999</v>
      </c>
      <c r="G94" s="1">
        <v>0.75</v>
      </c>
      <c r="H94">
        <v>3</v>
      </c>
      <c r="I94">
        <v>19</v>
      </c>
      <c r="J94">
        <v>273</v>
      </c>
      <c r="K94">
        <v>1</v>
      </c>
      <c r="L94">
        <v>1</v>
      </c>
      <c r="M94">
        <v>3</v>
      </c>
      <c r="N94" t="s">
        <v>23</v>
      </c>
      <c r="O94" s="1">
        <f t="shared" si="2"/>
        <v>75</v>
      </c>
      <c r="P94" s="1">
        <f t="shared" si="3"/>
        <v>7.4324324324324328E-2</v>
      </c>
    </row>
    <row r="95" spans="1:16" x14ac:dyDescent="0.3">
      <c r="A95" t="s">
        <v>62</v>
      </c>
      <c r="B95" t="s">
        <v>30</v>
      </c>
      <c r="C95" s="1">
        <v>0.55359999999999998</v>
      </c>
      <c r="D95" s="1">
        <v>0.98870000000000002</v>
      </c>
      <c r="E95" s="1">
        <v>0.5</v>
      </c>
      <c r="F95" s="1">
        <v>0.33329999999999999</v>
      </c>
      <c r="G95" s="1">
        <v>1</v>
      </c>
      <c r="H95">
        <v>3</v>
      </c>
      <c r="I95">
        <v>6</v>
      </c>
      <c r="J95">
        <v>290</v>
      </c>
      <c r="K95">
        <v>0</v>
      </c>
      <c r="L95">
        <v>1</v>
      </c>
      <c r="M95">
        <v>3</v>
      </c>
      <c r="N95" t="s">
        <v>18</v>
      </c>
      <c r="O95" s="1">
        <f t="shared" si="2"/>
        <v>100</v>
      </c>
      <c r="P95" s="1">
        <f t="shared" si="3"/>
        <v>3.0100334448160536E-2</v>
      </c>
    </row>
    <row r="96" spans="1:16" x14ac:dyDescent="0.3">
      <c r="A96" t="s">
        <v>62</v>
      </c>
      <c r="B96" t="s">
        <v>19</v>
      </c>
      <c r="C96" s="1">
        <v>0.85719999999999996</v>
      </c>
      <c r="D96" s="1">
        <v>0.95309999999999995</v>
      </c>
      <c r="E96" s="1">
        <v>0.69089999999999996</v>
      </c>
      <c r="F96" s="1">
        <v>0.57579999999999998</v>
      </c>
      <c r="G96" s="1">
        <v>0.86360000000000003</v>
      </c>
      <c r="H96">
        <v>19</v>
      </c>
      <c r="I96">
        <v>14</v>
      </c>
      <c r="J96">
        <v>264</v>
      </c>
      <c r="K96">
        <v>3</v>
      </c>
      <c r="L96">
        <v>1</v>
      </c>
      <c r="M96">
        <v>10</v>
      </c>
      <c r="N96" t="s">
        <v>20</v>
      </c>
      <c r="O96" s="1">
        <f t="shared" si="2"/>
        <v>45.454545454545453</v>
      </c>
      <c r="P96" s="1">
        <f t="shared" si="3"/>
        <v>0.11</v>
      </c>
    </row>
    <row r="97" spans="1:16" x14ac:dyDescent="0.3">
      <c r="A97" t="s">
        <v>62</v>
      </c>
      <c r="B97" t="s">
        <v>39</v>
      </c>
      <c r="C97" s="1">
        <v>0.87429999999999997</v>
      </c>
      <c r="D97" s="1">
        <v>0.98980000000000001</v>
      </c>
      <c r="E97" s="1">
        <v>0.45610000000000001</v>
      </c>
      <c r="F97" s="1">
        <v>0.29549999999999998</v>
      </c>
      <c r="G97" s="1">
        <v>1</v>
      </c>
      <c r="H97">
        <v>13</v>
      </c>
      <c r="I97">
        <v>31</v>
      </c>
      <c r="J97">
        <v>249</v>
      </c>
      <c r="K97">
        <v>0</v>
      </c>
      <c r="L97">
        <v>1</v>
      </c>
      <c r="M97">
        <v>9</v>
      </c>
      <c r="N97" t="s">
        <v>23</v>
      </c>
      <c r="O97" s="1">
        <f t="shared" si="2"/>
        <v>69.230769230769226</v>
      </c>
      <c r="P97" s="1">
        <f t="shared" si="3"/>
        <v>0.15017064846416384</v>
      </c>
    </row>
    <row r="98" spans="1:16" x14ac:dyDescent="0.3">
      <c r="A98" t="s">
        <v>63</v>
      </c>
      <c r="B98" t="s">
        <v>30</v>
      </c>
      <c r="C98" s="1">
        <v>1</v>
      </c>
      <c r="D98" s="1">
        <v>1</v>
      </c>
      <c r="E98" s="1">
        <v>0.46150000000000002</v>
      </c>
      <c r="F98" s="1">
        <v>0.3</v>
      </c>
      <c r="G98" s="1">
        <v>1</v>
      </c>
      <c r="H98">
        <v>3</v>
      </c>
      <c r="I98">
        <v>7</v>
      </c>
      <c r="J98">
        <v>289</v>
      </c>
      <c r="K98">
        <v>0</v>
      </c>
      <c r="L98">
        <v>1</v>
      </c>
      <c r="M98">
        <v>3</v>
      </c>
      <c r="N98" t="s">
        <v>18</v>
      </c>
      <c r="O98" s="1">
        <f t="shared" si="2"/>
        <v>100</v>
      </c>
      <c r="P98" s="1">
        <f t="shared" si="3"/>
        <v>3.3444816053511704E-2</v>
      </c>
    </row>
    <row r="99" spans="1:16" x14ac:dyDescent="0.3">
      <c r="A99" t="s">
        <v>63</v>
      </c>
      <c r="B99" t="s">
        <v>19</v>
      </c>
      <c r="C99" s="1">
        <v>0.86270000000000002</v>
      </c>
      <c r="D99" s="1">
        <v>0.93149999999999999</v>
      </c>
      <c r="E99" s="1">
        <v>0.84440000000000004</v>
      </c>
      <c r="F99" s="1">
        <v>0.82609999999999995</v>
      </c>
      <c r="G99" s="1">
        <v>0.86360000000000003</v>
      </c>
      <c r="H99">
        <v>19</v>
      </c>
      <c r="I99">
        <v>4</v>
      </c>
      <c r="J99">
        <v>274</v>
      </c>
      <c r="K99">
        <v>3</v>
      </c>
      <c r="L99">
        <v>1</v>
      </c>
      <c r="M99">
        <v>10</v>
      </c>
      <c r="N99" t="s">
        <v>20</v>
      </c>
      <c r="O99" s="1">
        <f t="shared" si="2"/>
        <v>45.454545454545453</v>
      </c>
      <c r="P99" s="1">
        <f t="shared" si="3"/>
        <v>7.6666666666666661E-2</v>
      </c>
    </row>
    <row r="100" spans="1:16" x14ac:dyDescent="0.3">
      <c r="A100" t="s">
        <v>63</v>
      </c>
      <c r="B100" t="s">
        <v>64</v>
      </c>
      <c r="C100" s="1">
        <v>0.34350000000000003</v>
      </c>
      <c r="D100" s="1">
        <v>0.91700000000000004</v>
      </c>
      <c r="E100" s="1">
        <v>0.19350000000000001</v>
      </c>
      <c r="F100" s="1">
        <v>0.12</v>
      </c>
      <c r="G100" s="1">
        <v>0.5</v>
      </c>
      <c r="H100">
        <v>3</v>
      </c>
      <c r="I100">
        <v>22</v>
      </c>
      <c r="J100">
        <v>215</v>
      </c>
      <c r="K100">
        <v>3</v>
      </c>
      <c r="L100">
        <v>1</v>
      </c>
      <c r="M100">
        <v>2</v>
      </c>
      <c r="N100" t="s">
        <v>23</v>
      </c>
      <c r="O100" s="1">
        <f t="shared" si="2"/>
        <v>33.333333333333329</v>
      </c>
      <c r="P100" s="1">
        <f t="shared" si="3"/>
        <v>0.102880658436214</v>
      </c>
    </row>
    <row r="101" spans="1:16" x14ac:dyDescent="0.3">
      <c r="A101" t="s">
        <v>65</v>
      </c>
      <c r="B101" t="s">
        <v>30</v>
      </c>
      <c r="C101" s="1">
        <v>1</v>
      </c>
      <c r="D101" s="1">
        <v>1</v>
      </c>
      <c r="E101" s="1">
        <v>0.46150000000000002</v>
      </c>
      <c r="F101" s="1">
        <v>0.3</v>
      </c>
      <c r="G101" s="1">
        <v>1</v>
      </c>
      <c r="H101">
        <v>3</v>
      </c>
      <c r="I101">
        <v>7</v>
      </c>
      <c r="J101">
        <v>289</v>
      </c>
      <c r="K101">
        <v>0</v>
      </c>
      <c r="L101">
        <v>1</v>
      </c>
      <c r="M101">
        <v>3</v>
      </c>
      <c r="N101" t="s">
        <v>18</v>
      </c>
      <c r="O101" s="1">
        <f t="shared" si="2"/>
        <v>100</v>
      </c>
      <c r="P101" s="1">
        <f t="shared" si="3"/>
        <v>3.3444816053511704E-2</v>
      </c>
    </row>
    <row r="102" spans="1:16" x14ac:dyDescent="0.3">
      <c r="A102" t="s">
        <v>65</v>
      </c>
      <c r="B102" t="s">
        <v>19</v>
      </c>
      <c r="C102" s="1">
        <v>0.85589999999999999</v>
      </c>
      <c r="D102" s="1">
        <v>0.93149999999999999</v>
      </c>
      <c r="E102" s="1">
        <v>0.8085</v>
      </c>
      <c r="F102" s="1">
        <v>0.76</v>
      </c>
      <c r="G102" s="1">
        <v>0.86360000000000003</v>
      </c>
      <c r="H102">
        <v>19</v>
      </c>
      <c r="I102">
        <v>6</v>
      </c>
      <c r="J102">
        <v>272</v>
      </c>
      <c r="K102">
        <v>3</v>
      </c>
      <c r="L102">
        <v>1</v>
      </c>
      <c r="M102">
        <v>10</v>
      </c>
      <c r="N102" t="s">
        <v>20</v>
      </c>
      <c r="O102" s="1">
        <f t="shared" si="2"/>
        <v>45.454545454545453</v>
      </c>
      <c r="P102" s="1">
        <f t="shared" si="3"/>
        <v>8.3333333333333329E-2</v>
      </c>
    </row>
    <row r="103" spans="1:16" x14ac:dyDescent="0.3">
      <c r="A103" t="s">
        <v>65</v>
      </c>
      <c r="B103" t="s">
        <v>64</v>
      </c>
      <c r="C103" s="1">
        <v>0.34300000000000003</v>
      </c>
      <c r="D103" s="1">
        <v>0.88959999999999995</v>
      </c>
      <c r="E103" s="1">
        <v>0.2</v>
      </c>
      <c r="F103" s="1">
        <v>0.125</v>
      </c>
      <c r="G103" s="1">
        <v>0.5</v>
      </c>
      <c r="H103">
        <v>3</v>
      </c>
      <c r="I103">
        <v>21</v>
      </c>
      <c r="J103">
        <v>216</v>
      </c>
      <c r="K103">
        <v>3</v>
      </c>
      <c r="L103">
        <v>1</v>
      </c>
      <c r="M103">
        <v>2</v>
      </c>
      <c r="N103" t="s">
        <v>23</v>
      </c>
      <c r="O103" s="1">
        <f t="shared" si="2"/>
        <v>33.333333333333329</v>
      </c>
      <c r="P103" s="1">
        <f t="shared" si="3"/>
        <v>9.8765432098765427E-2</v>
      </c>
    </row>
    <row r="104" spans="1:16" x14ac:dyDescent="0.3">
      <c r="A104" t="s">
        <v>66</v>
      </c>
      <c r="B104" t="s">
        <v>54</v>
      </c>
      <c r="C104" s="1">
        <v>0.34599999999999997</v>
      </c>
      <c r="D104" s="1">
        <v>0.76149999999999995</v>
      </c>
      <c r="E104" s="1">
        <v>0.1333</v>
      </c>
      <c r="F104" s="1">
        <v>9.0899999999999995E-2</v>
      </c>
      <c r="G104" s="1">
        <v>0.25</v>
      </c>
      <c r="H104">
        <v>1</v>
      </c>
      <c r="I104">
        <v>10</v>
      </c>
      <c r="J104">
        <v>273</v>
      </c>
      <c r="K104">
        <v>3</v>
      </c>
      <c r="L104">
        <v>1</v>
      </c>
      <c r="M104">
        <v>1</v>
      </c>
      <c r="N104" t="s">
        <v>18</v>
      </c>
      <c r="O104" s="1">
        <f t="shared" si="2"/>
        <v>25</v>
      </c>
      <c r="P104" s="1">
        <f t="shared" si="3"/>
        <v>3.8327526132404179E-2</v>
      </c>
    </row>
    <row r="105" spans="1:16" x14ac:dyDescent="0.3">
      <c r="A105" t="s">
        <v>66</v>
      </c>
      <c r="B105" t="s">
        <v>19</v>
      </c>
      <c r="C105" s="1">
        <v>0.86099999999999999</v>
      </c>
      <c r="D105" s="1">
        <v>0.90059999999999996</v>
      </c>
      <c r="E105" s="1">
        <v>0.8085</v>
      </c>
      <c r="F105" s="1">
        <v>0.76</v>
      </c>
      <c r="G105" s="1">
        <v>0.86360000000000003</v>
      </c>
      <c r="H105">
        <v>19</v>
      </c>
      <c r="I105">
        <v>6</v>
      </c>
      <c r="J105">
        <v>272</v>
      </c>
      <c r="K105">
        <v>3</v>
      </c>
      <c r="L105">
        <v>1</v>
      </c>
      <c r="M105">
        <v>10</v>
      </c>
      <c r="N105" t="s">
        <v>20</v>
      </c>
      <c r="O105" s="1">
        <f t="shared" si="2"/>
        <v>45.454545454545453</v>
      </c>
      <c r="P105" s="1">
        <f t="shared" si="3"/>
        <v>8.3333333333333329E-2</v>
      </c>
    </row>
    <row r="106" spans="1:16" x14ac:dyDescent="0.3">
      <c r="A106" t="s">
        <v>66</v>
      </c>
      <c r="B106" t="s">
        <v>39</v>
      </c>
      <c r="C106" s="1">
        <v>0.90429999999999999</v>
      </c>
      <c r="D106" s="1">
        <v>0.99370000000000003</v>
      </c>
      <c r="E106" s="1">
        <v>0.45610000000000001</v>
      </c>
      <c r="F106" s="1">
        <v>0.29549999999999998</v>
      </c>
      <c r="G106" s="1">
        <v>1</v>
      </c>
      <c r="H106">
        <v>13</v>
      </c>
      <c r="I106">
        <v>31</v>
      </c>
      <c r="J106">
        <v>249</v>
      </c>
      <c r="K106">
        <v>0</v>
      </c>
      <c r="L106">
        <v>1</v>
      </c>
      <c r="M106">
        <v>9</v>
      </c>
      <c r="N106" t="s">
        <v>23</v>
      </c>
      <c r="O106" s="1">
        <f t="shared" si="2"/>
        <v>69.230769230769226</v>
      </c>
      <c r="P106" s="1">
        <f t="shared" si="3"/>
        <v>0.15017064846416384</v>
      </c>
    </row>
    <row r="107" spans="1:16" x14ac:dyDescent="0.3">
      <c r="A107" t="s">
        <v>67</v>
      </c>
      <c r="B107" t="s">
        <v>19</v>
      </c>
      <c r="C107" s="1">
        <v>0.87460000000000004</v>
      </c>
      <c r="D107" s="1">
        <v>0.96679999999999999</v>
      </c>
      <c r="E107" s="1">
        <v>0.79169999999999996</v>
      </c>
      <c r="F107" s="1">
        <v>0.73080000000000001</v>
      </c>
      <c r="G107" s="1">
        <v>0.86360000000000003</v>
      </c>
      <c r="H107">
        <v>19</v>
      </c>
      <c r="I107">
        <v>7</v>
      </c>
      <c r="J107">
        <v>271</v>
      </c>
      <c r="K107">
        <v>3</v>
      </c>
      <c r="L107">
        <v>1</v>
      </c>
      <c r="M107">
        <v>10</v>
      </c>
      <c r="N107" t="s">
        <v>20</v>
      </c>
      <c r="O107" s="1">
        <f t="shared" si="2"/>
        <v>45.454545454545453</v>
      </c>
      <c r="P107" s="1">
        <f t="shared" si="3"/>
        <v>8.666666666666667E-2</v>
      </c>
    </row>
    <row r="108" spans="1:16" x14ac:dyDescent="0.3">
      <c r="A108" t="s">
        <v>67</v>
      </c>
      <c r="B108" t="s">
        <v>39</v>
      </c>
      <c r="C108" s="1">
        <v>0.86829999999999996</v>
      </c>
      <c r="D108" s="1">
        <v>0.99039999999999995</v>
      </c>
      <c r="E108" s="1">
        <v>0.37680000000000002</v>
      </c>
      <c r="F108" s="1">
        <v>0.2321</v>
      </c>
      <c r="G108" s="1">
        <v>1</v>
      </c>
      <c r="H108">
        <v>13</v>
      </c>
      <c r="I108">
        <v>43</v>
      </c>
      <c r="J108">
        <v>237</v>
      </c>
      <c r="K108">
        <v>0</v>
      </c>
      <c r="L108">
        <v>1</v>
      </c>
      <c r="M108">
        <v>9</v>
      </c>
      <c r="N108" t="s">
        <v>23</v>
      </c>
      <c r="O108" s="1">
        <f t="shared" si="2"/>
        <v>69.230769230769226</v>
      </c>
      <c r="P108" s="1">
        <f t="shared" si="3"/>
        <v>0.19112627986348124</v>
      </c>
    </row>
    <row r="109" spans="1:16" x14ac:dyDescent="0.3">
      <c r="A109" t="s">
        <v>67</v>
      </c>
      <c r="B109" t="s">
        <v>42</v>
      </c>
      <c r="C109" s="1">
        <v>0.53569999999999995</v>
      </c>
      <c r="D109" s="1">
        <v>0.93779999999999997</v>
      </c>
      <c r="E109" s="1">
        <v>0.55320000000000003</v>
      </c>
      <c r="F109" s="1">
        <v>0.48149999999999998</v>
      </c>
      <c r="G109" s="1">
        <v>0.65</v>
      </c>
      <c r="H109">
        <v>13</v>
      </c>
      <c r="I109">
        <v>14</v>
      </c>
      <c r="J109">
        <v>264</v>
      </c>
      <c r="K109">
        <v>7</v>
      </c>
      <c r="L109">
        <v>1</v>
      </c>
      <c r="M109">
        <v>6</v>
      </c>
      <c r="N109" t="s">
        <v>18</v>
      </c>
      <c r="O109" s="1">
        <f t="shared" si="2"/>
        <v>30</v>
      </c>
      <c r="P109" s="1">
        <f t="shared" si="3"/>
        <v>9.0604026845637578E-2</v>
      </c>
    </row>
    <row r="110" spans="1:16" x14ac:dyDescent="0.3">
      <c r="A110" t="s">
        <v>68</v>
      </c>
      <c r="B110" t="s">
        <v>30</v>
      </c>
      <c r="C110" s="1">
        <v>1</v>
      </c>
      <c r="D110" s="1">
        <v>1</v>
      </c>
      <c r="E110" s="1">
        <v>0.5</v>
      </c>
      <c r="F110" s="1">
        <v>0.33329999999999999</v>
      </c>
      <c r="G110" s="1">
        <v>1</v>
      </c>
      <c r="H110">
        <v>3</v>
      </c>
      <c r="I110">
        <v>6</v>
      </c>
      <c r="J110">
        <v>290</v>
      </c>
      <c r="K110">
        <v>0</v>
      </c>
      <c r="L110">
        <v>1</v>
      </c>
      <c r="M110">
        <v>3</v>
      </c>
      <c r="N110" t="s">
        <v>18</v>
      </c>
      <c r="O110" s="1">
        <f t="shared" si="2"/>
        <v>100</v>
      </c>
      <c r="P110" s="1">
        <f t="shared" si="3"/>
        <v>3.0100334448160536E-2</v>
      </c>
    </row>
    <row r="111" spans="1:16" x14ac:dyDescent="0.3">
      <c r="A111" t="s">
        <v>68</v>
      </c>
      <c r="B111" t="s">
        <v>69</v>
      </c>
      <c r="C111" s="1">
        <v>0.26169999999999999</v>
      </c>
      <c r="D111" s="1">
        <v>0.8377</v>
      </c>
      <c r="E111" s="1">
        <v>0.29630000000000001</v>
      </c>
      <c r="F111" s="1">
        <v>0.1951</v>
      </c>
      <c r="G111" s="1">
        <v>0.61539999999999995</v>
      </c>
      <c r="H111">
        <v>8</v>
      </c>
      <c r="I111">
        <v>33</v>
      </c>
      <c r="J111">
        <v>222</v>
      </c>
      <c r="K111">
        <v>5</v>
      </c>
      <c r="L111">
        <v>1</v>
      </c>
      <c r="M111">
        <v>3</v>
      </c>
      <c r="N111" t="s">
        <v>70</v>
      </c>
      <c r="O111" s="1">
        <f t="shared" si="2"/>
        <v>23.076923076923077</v>
      </c>
      <c r="P111" s="1">
        <f t="shared" si="3"/>
        <v>0.15298507462686567</v>
      </c>
    </row>
    <row r="112" spans="1:16" x14ac:dyDescent="0.3">
      <c r="A112" t="s">
        <v>68</v>
      </c>
      <c r="B112" t="s">
        <v>19</v>
      </c>
      <c r="C112" s="1">
        <v>0.85319999999999996</v>
      </c>
      <c r="D112" s="1">
        <v>0.93149999999999999</v>
      </c>
      <c r="E112" s="1">
        <v>0.86360000000000003</v>
      </c>
      <c r="F112" s="1">
        <v>0.86360000000000003</v>
      </c>
      <c r="G112" s="1">
        <v>0.86360000000000003</v>
      </c>
      <c r="H112">
        <v>19</v>
      </c>
      <c r="I112">
        <v>3</v>
      </c>
      <c r="J112">
        <v>275</v>
      </c>
      <c r="K112">
        <v>3</v>
      </c>
      <c r="L112">
        <v>1</v>
      </c>
      <c r="M112">
        <v>10</v>
      </c>
      <c r="N112" t="s">
        <v>20</v>
      </c>
      <c r="O112" s="1">
        <f t="shared" si="2"/>
        <v>45.454545454545453</v>
      </c>
      <c r="P112" s="1">
        <f t="shared" si="3"/>
        <v>7.3333333333333334E-2</v>
      </c>
    </row>
    <row r="113" spans="1:16" x14ac:dyDescent="0.3">
      <c r="A113" t="s">
        <v>71</v>
      </c>
      <c r="B113" t="s">
        <v>15</v>
      </c>
      <c r="C113" s="1">
        <v>0.64759999999999995</v>
      </c>
      <c r="D113" s="1">
        <v>0.98860000000000003</v>
      </c>
      <c r="E113" s="1">
        <v>0.66669999999999996</v>
      </c>
      <c r="F113" s="1">
        <v>0.71430000000000005</v>
      </c>
      <c r="G113" s="1">
        <v>0.625</v>
      </c>
      <c r="H113">
        <v>5</v>
      </c>
      <c r="I113">
        <v>2</v>
      </c>
      <c r="J113">
        <v>262</v>
      </c>
      <c r="K113">
        <v>3</v>
      </c>
      <c r="L113">
        <v>1</v>
      </c>
      <c r="M113">
        <v>5</v>
      </c>
      <c r="N113" t="s">
        <v>16</v>
      </c>
      <c r="O113" s="1">
        <f t="shared" si="2"/>
        <v>62.5</v>
      </c>
      <c r="P113" s="1">
        <f t="shared" si="3"/>
        <v>2.5735294117647058E-2</v>
      </c>
    </row>
    <row r="114" spans="1:16" x14ac:dyDescent="0.3">
      <c r="A114" t="s">
        <v>71</v>
      </c>
      <c r="B114" t="s">
        <v>17</v>
      </c>
      <c r="C114" s="1">
        <v>0.82399999999999995</v>
      </c>
      <c r="D114" s="1">
        <v>0.99560000000000004</v>
      </c>
      <c r="E114" s="1">
        <v>0.88890000000000002</v>
      </c>
      <c r="F114" s="1">
        <v>0.8</v>
      </c>
      <c r="G114" s="1">
        <v>1</v>
      </c>
      <c r="H114">
        <v>8</v>
      </c>
      <c r="I114">
        <v>2</v>
      </c>
      <c r="J114">
        <v>285</v>
      </c>
      <c r="K114">
        <v>0</v>
      </c>
      <c r="L114">
        <v>1</v>
      </c>
      <c r="M114">
        <v>8</v>
      </c>
      <c r="N114" t="s">
        <v>18</v>
      </c>
      <c r="O114" s="1">
        <f t="shared" si="2"/>
        <v>100</v>
      </c>
      <c r="P114" s="1">
        <f t="shared" si="3"/>
        <v>3.3898305084745763E-2</v>
      </c>
    </row>
    <row r="115" spans="1:16" x14ac:dyDescent="0.3">
      <c r="A115" t="s">
        <v>71</v>
      </c>
      <c r="B115" t="s">
        <v>39</v>
      </c>
      <c r="C115" s="1">
        <v>0.88200000000000001</v>
      </c>
      <c r="D115" s="1">
        <v>0.98570000000000002</v>
      </c>
      <c r="E115" s="1">
        <v>0.41270000000000001</v>
      </c>
      <c r="F115" s="1">
        <v>0.26</v>
      </c>
      <c r="G115" s="1">
        <v>1</v>
      </c>
      <c r="H115">
        <v>13</v>
      </c>
      <c r="I115">
        <v>37</v>
      </c>
      <c r="J115">
        <v>243</v>
      </c>
      <c r="K115">
        <v>0</v>
      </c>
      <c r="L115">
        <v>1</v>
      </c>
      <c r="M115">
        <v>9</v>
      </c>
      <c r="N115" t="s">
        <v>23</v>
      </c>
      <c r="O115" s="1">
        <f t="shared" si="2"/>
        <v>69.230769230769226</v>
      </c>
      <c r="P115" s="1">
        <f t="shared" si="3"/>
        <v>0.17064846416382254</v>
      </c>
    </row>
    <row r="116" spans="1:16" x14ac:dyDescent="0.3">
      <c r="A116" t="s">
        <v>72</v>
      </c>
      <c r="B116" t="s">
        <v>17</v>
      </c>
      <c r="C116" s="1">
        <v>0.80730000000000002</v>
      </c>
      <c r="D116" s="1">
        <v>0.99480000000000002</v>
      </c>
      <c r="E116" s="1">
        <v>0.61539999999999995</v>
      </c>
      <c r="F116" s="1">
        <v>0.44440000000000002</v>
      </c>
      <c r="G116" s="1">
        <v>1</v>
      </c>
      <c r="H116">
        <v>8</v>
      </c>
      <c r="I116">
        <v>10</v>
      </c>
      <c r="J116">
        <v>277</v>
      </c>
      <c r="K116">
        <v>0</v>
      </c>
      <c r="L116">
        <v>1</v>
      </c>
      <c r="M116">
        <v>7</v>
      </c>
      <c r="N116" t="s">
        <v>18</v>
      </c>
      <c r="O116" s="1">
        <f t="shared" si="2"/>
        <v>87.5</v>
      </c>
      <c r="P116" s="1">
        <f t="shared" si="3"/>
        <v>6.1016949152542375E-2</v>
      </c>
    </row>
    <row r="117" spans="1:16" x14ac:dyDescent="0.3">
      <c r="A117" t="s">
        <v>72</v>
      </c>
      <c r="B117" t="s">
        <v>19</v>
      </c>
      <c r="C117" s="1">
        <v>0.74950000000000006</v>
      </c>
      <c r="D117" s="1">
        <v>0.88100000000000001</v>
      </c>
      <c r="E117" s="1">
        <v>0.48649999999999999</v>
      </c>
      <c r="F117" s="1">
        <v>0.34620000000000001</v>
      </c>
      <c r="G117" s="1">
        <v>0.81820000000000004</v>
      </c>
      <c r="H117">
        <v>18</v>
      </c>
      <c r="I117">
        <v>34</v>
      </c>
      <c r="J117">
        <v>244</v>
      </c>
      <c r="K117">
        <v>4</v>
      </c>
      <c r="L117">
        <v>1</v>
      </c>
      <c r="M117">
        <v>9</v>
      </c>
      <c r="N117" t="s">
        <v>20</v>
      </c>
      <c r="O117" s="1">
        <f t="shared" si="2"/>
        <v>40.909090909090914</v>
      </c>
      <c r="P117" s="1">
        <f t="shared" si="3"/>
        <v>0.17333333333333334</v>
      </c>
    </row>
    <row r="118" spans="1:16" x14ac:dyDescent="0.3">
      <c r="A118" t="s">
        <v>72</v>
      </c>
      <c r="B118" t="s">
        <v>33</v>
      </c>
      <c r="C118" s="1">
        <v>0.5524</v>
      </c>
      <c r="D118" s="1">
        <v>0.91579999999999995</v>
      </c>
      <c r="E118" s="1">
        <v>0.46510000000000001</v>
      </c>
      <c r="F118" s="1">
        <v>0.3448</v>
      </c>
      <c r="G118" s="1">
        <v>0.71430000000000005</v>
      </c>
      <c r="H118">
        <v>10</v>
      </c>
      <c r="I118">
        <v>19</v>
      </c>
      <c r="J118">
        <v>264</v>
      </c>
      <c r="K118">
        <v>4</v>
      </c>
      <c r="L118">
        <v>1</v>
      </c>
      <c r="M118">
        <v>5</v>
      </c>
      <c r="N118" t="s">
        <v>23</v>
      </c>
      <c r="O118" s="1">
        <f t="shared" si="2"/>
        <v>35.714285714285715</v>
      </c>
      <c r="P118" s="1">
        <f t="shared" si="3"/>
        <v>9.7643097643097643E-2</v>
      </c>
    </row>
    <row r="119" spans="1:16" x14ac:dyDescent="0.3">
      <c r="A119" t="s">
        <v>73</v>
      </c>
      <c r="B119" t="s">
        <v>17</v>
      </c>
      <c r="C119" s="1">
        <v>0.81059999999999999</v>
      </c>
      <c r="D119" s="1">
        <v>0.99609999999999999</v>
      </c>
      <c r="E119" s="1">
        <v>0.8</v>
      </c>
      <c r="F119" s="1">
        <v>0.66669999999999996</v>
      </c>
      <c r="G119" s="1">
        <v>1</v>
      </c>
      <c r="H119">
        <v>8</v>
      </c>
      <c r="I119">
        <v>4</v>
      </c>
      <c r="J119">
        <v>283</v>
      </c>
      <c r="K119">
        <v>0</v>
      </c>
      <c r="L119">
        <v>1</v>
      </c>
      <c r="M119">
        <v>8</v>
      </c>
      <c r="N119" t="s">
        <v>18</v>
      </c>
      <c r="O119" s="1">
        <f t="shared" si="2"/>
        <v>100</v>
      </c>
      <c r="P119" s="1">
        <f t="shared" si="3"/>
        <v>4.0677966101694912E-2</v>
      </c>
    </row>
    <row r="120" spans="1:16" x14ac:dyDescent="0.3">
      <c r="A120" t="s">
        <v>73</v>
      </c>
      <c r="B120" t="s">
        <v>74</v>
      </c>
      <c r="C120" s="1">
        <v>0.38950000000000001</v>
      </c>
      <c r="D120" s="1">
        <v>0.96779999999999999</v>
      </c>
      <c r="E120" s="1">
        <v>0.39129999999999998</v>
      </c>
      <c r="F120" s="1">
        <v>0.25</v>
      </c>
      <c r="G120" s="1">
        <v>0.9</v>
      </c>
      <c r="H120">
        <v>9</v>
      </c>
      <c r="I120">
        <v>27</v>
      </c>
      <c r="J120">
        <v>262</v>
      </c>
      <c r="K120">
        <v>1</v>
      </c>
      <c r="L120">
        <v>3</v>
      </c>
      <c r="M120">
        <v>4</v>
      </c>
      <c r="N120" t="s">
        <v>20</v>
      </c>
      <c r="O120" s="1">
        <f t="shared" si="2"/>
        <v>40</v>
      </c>
      <c r="P120" s="1">
        <f t="shared" si="3"/>
        <v>0.12040133779264214</v>
      </c>
    </row>
    <row r="121" spans="1:16" x14ac:dyDescent="0.3">
      <c r="A121" t="s">
        <v>73</v>
      </c>
      <c r="B121" t="s">
        <v>39</v>
      </c>
      <c r="C121" s="1">
        <v>0.94669999999999999</v>
      </c>
      <c r="D121" s="1">
        <v>0.99670000000000003</v>
      </c>
      <c r="E121" s="1">
        <v>0.44829999999999998</v>
      </c>
      <c r="F121" s="1">
        <v>0.28889999999999999</v>
      </c>
      <c r="G121" s="1">
        <v>1</v>
      </c>
      <c r="H121">
        <v>13</v>
      </c>
      <c r="I121">
        <v>32</v>
      </c>
      <c r="J121">
        <v>248</v>
      </c>
      <c r="K121">
        <v>0</v>
      </c>
      <c r="L121">
        <v>1</v>
      </c>
      <c r="M121">
        <v>10</v>
      </c>
      <c r="N121" t="s">
        <v>23</v>
      </c>
      <c r="O121" s="1">
        <f t="shared" si="2"/>
        <v>76.923076923076934</v>
      </c>
      <c r="P121" s="1">
        <f t="shared" si="3"/>
        <v>0.15358361774744028</v>
      </c>
    </row>
    <row r="122" spans="1:16" x14ac:dyDescent="0.3">
      <c r="A122" t="s">
        <v>75</v>
      </c>
      <c r="B122" t="s">
        <v>76</v>
      </c>
      <c r="C122" s="1">
        <v>0.66649999999999998</v>
      </c>
      <c r="D122" s="1">
        <v>0.95179999999999998</v>
      </c>
      <c r="E122" s="1">
        <v>0.46910000000000002</v>
      </c>
      <c r="F122" s="1">
        <v>0.3115</v>
      </c>
      <c r="G122" s="1">
        <v>0.95</v>
      </c>
      <c r="H122">
        <v>19</v>
      </c>
      <c r="I122">
        <v>42</v>
      </c>
      <c r="J122">
        <v>238</v>
      </c>
      <c r="K122">
        <v>1</v>
      </c>
      <c r="L122">
        <v>1</v>
      </c>
      <c r="M122">
        <v>8</v>
      </c>
      <c r="N122" t="s">
        <v>20</v>
      </c>
      <c r="O122" s="1">
        <f t="shared" si="2"/>
        <v>40</v>
      </c>
      <c r="P122" s="1">
        <f t="shared" si="3"/>
        <v>0.20333333333333334</v>
      </c>
    </row>
    <row r="123" spans="1:16" x14ac:dyDescent="0.3">
      <c r="A123" t="s">
        <v>75</v>
      </c>
      <c r="B123" t="s">
        <v>56</v>
      </c>
      <c r="C123" s="1">
        <v>0.58840000000000003</v>
      </c>
      <c r="D123" s="1">
        <v>0.93740000000000001</v>
      </c>
      <c r="E123" s="1">
        <v>0.5</v>
      </c>
      <c r="F123" s="1">
        <v>0.8</v>
      </c>
      <c r="G123" s="1">
        <v>0.36359999999999998</v>
      </c>
      <c r="H123">
        <v>4</v>
      </c>
      <c r="I123">
        <v>1</v>
      </c>
      <c r="J123">
        <v>282</v>
      </c>
      <c r="K123">
        <v>7</v>
      </c>
      <c r="L123">
        <v>1</v>
      </c>
      <c r="M123">
        <v>5</v>
      </c>
      <c r="N123" t="s">
        <v>18</v>
      </c>
      <c r="O123" s="1">
        <f t="shared" si="2"/>
        <v>45.454545454545453</v>
      </c>
      <c r="P123" s="1">
        <f t="shared" si="3"/>
        <v>1.7006802721088437E-2</v>
      </c>
    </row>
    <row r="124" spans="1:16" x14ac:dyDescent="0.3">
      <c r="A124" t="s">
        <v>75</v>
      </c>
      <c r="B124" t="s">
        <v>39</v>
      </c>
      <c r="C124" s="1">
        <v>0.88149999999999995</v>
      </c>
      <c r="D124" s="1">
        <v>0.9929</v>
      </c>
      <c r="E124" s="1">
        <v>0.44069999999999998</v>
      </c>
      <c r="F124" s="1">
        <v>0.28260000000000002</v>
      </c>
      <c r="G124" s="1">
        <v>1</v>
      </c>
      <c r="H124">
        <v>13</v>
      </c>
      <c r="I124">
        <v>33</v>
      </c>
      <c r="J124">
        <v>247</v>
      </c>
      <c r="K124">
        <v>0</v>
      </c>
      <c r="L124">
        <v>1</v>
      </c>
      <c r="M124">
        <v>9</v>
      </c>
      <c r="N124" t="s">
        <v>23</v>
      </c>
      <c r="O124" s="1">
        <f t="shared" si="2"/>
        <v>69.230769230769226</v>
      </c>
      <c r="P124" s="1">
        <f t="shared" si="3"/>
        <v>0.15699658703071673</v>
      </c>
    </row>
    <row r="125" spans="1:16" x14ac:dyDescent="0.3">
      <c r="A125" t="s">
        <v>77</v>
      </c>
      <c r="B125" t="s">
        <v>78</v>
      </c>
      <c r="C125" s="1">
        <v>0.3518</v>
      </c>
      <c r="D125" s="1">
        <v>0.90639999999999998</v>
      </c>
      <c r="E125" s="1">
        <v>0</v>
      </c>
      <c r="F125" s="1">
        <v>0</v>
      </c>
      <c r="G125" s="1">
        <v>0</v>
      </c>
      <c r="H125">
        <v>0</v>
      </c>
      <c r="I125">
        <v>0</v>
      </c>
      <c r="J125">
        <v>282</v>
      </c>
      <c r="K125">
        <v>18</v>
      </c>
      <c r="L125">
        <v>4</v>
      </c>
      <c r="M125">
        <v>5</v>
      </c>
      <c r="N125" t="s">
        <v>20</v>
      </c>
      <c r="O125" s="1">
        <f t="shared" si="2"/>
        <v>27.777777777777779</v>
      </c>
      <c r="P125" s="1">
        <f t="shared" si="3"/>
        <v>0</v>
      </c>
    </row>
    <row r="126" spans="1:16" x14ac:dyDescent="0.3">
      <c r="A126" t="s">
        <v>77</v>
      </c>
      <c r="B126" t="s">
        <v>17</v>
      </c>
      <c r="C126" s="1">
        <v>0.82279999999999998</v>
      </c>
      <c r="D126" s="1">
        <v>0.99650000000000005</v>
      </c>
      <c r="E126" s="1">
        <v>0.84209999999999996</v>
      </c>
      <c r="F126" s="1">
        <v>0.72729999999999995</v>
      </c>
      <c r="G126" s="1">
        <v>1</v>
      </c>
      <c r="H126">
        <v>8</v>
      </c>
      <c r="I126">
        <v>3</v>
      </c>
      <c r="J126">
        <v>284</v>
      </c>
      <c r="K126">
        <v>0</v>
      </c>
      <c r="L126">
        <v>1</v>
      </c>
      <c r="M126">
        <v>8</v>
      </c>
      <c r="N126" t="s">
        <v>18</v>
      </c>
      <c r="O126" s="1">
        <f t="shared" si="2"/>
        <v>100</v>
      </c>
      <c r="P126" s="1">
        <f t="shared" si="3"/>
        <v>3.7288135593220341E-2</v>
      </c>
    </row>
    <row r="127" spans="1:16" x14ac:dyDescent="0.3">
      <c r="A127" t="s">
        <v>77</v>
      </c>
      <c r="B127" t="s">
        <v>39</v>
      </c>
      <c r="C127" s="1">
        <v>0.95579999999999998</v>
      </c>
      <c r="D127" s="1">
        <v>0.99780000000000002</v>
      </c>
      <c r="E127" s="1">
        <v>0.47270000000000001</v>
      </c>
      <c r="F127" s="1">
        <v>0.3095</v>
      </c>
      <c r="G127" s="1">
        <v>1</v>
      </c>
      <c r="H127">
        <v>13</v>
      </c>
      <c r="I127">
        <v>29</v>
      </c>
      <c r="J127">
        <v>251</v>
      </c>
      <c r="K127">
        <v>0</v>
      </c>
      <c r="L127">
        <v>1</v>
      </c>
      <c r="M127">
        <v>9</v>
      </c>
      <c r="N127" t="s">
        <v>23</v>
      </c>
      <c r="O127" s="1">
        <f t="shared" si="2"/>
        <v>69.230769230769226</v>
      </c>
      <c r="P127" s="1">
        <f t="shared" si="3"/>
        <v>0.14334470989761092</v>
      </c>
    </row>
    <row r="128" spans="1:16" x14ac:dyDescent="0.3">
      <c r="A128" t="s">
        <v>79</v>
      </c>
      <c r="B128" t="s">
        <v>30</v>
      </c>
      <c r="C128" s="1">
        <v>0.91669999999999996</v>
      </c>
      <c r="D128" s="1">
        <v>0.99890000000000001</v>
      </c>
      <c r="E128" s="1">
        <v>0.46150000000000002</v>
      </c>
      <c r="F128" s="1">
        <v>0.3</v>
      </c>
      <c r="G128" s="1">
        <v>1</v>
      </c>
      <c r="H128">
        <v>3</v>
      </c>
      <c r="I128">
        <v>7</v>
      </c>
      <c r="J128">
        <v>289</v>
      </c>
      <c r="K128">
        <v>0</v>
      </c>
      <c r="L128">
        <v>1</v>
      </c>
      <c r="M128">
        <v>3</v>
      </c>
      <c r="N128" t="s">
        <v>18</v>
      </c>
      <c r="O128" s="1">
        <f t="shared" si="2"/>
        <v>100</v>
      </c>
      <c r="P128" s="1">
        <f t="shared" si="3"/>
        <v>3.3444816053511704E-2</v>
      </c>
    </row>
    <row r="129" spans="1:16" x14ac:dyDescent="0.3">
      <c r="A129" t="s">
        <v>79</v>
      </c>
      <c r="B129" t="s">
        <v>74</v>
      </c>
      <c r="C129" s="1">
        <v>0.3952</v>
      </c>
      <c r="D129" s="1">
        <v>0.96989999999999998</v>
      </c>
      <c r="E129" s="1">
        <v>0.4</v>
      </c>
      <c r="F129" s="1">
        <v>0.25</v>
      </c>
      <c r="G129" s="1">
        <v>1</v>
      </c>
      <c r="H129">
        <v>10</v>
      </c>
      <c r="I129">
        <v>30</v>
      </c>
      <c r="J129">
        <v>259</v>
      </c>
      <c r="K129">
        <v>0</v>
      </c>
      <c r="L129">
        <v>3</v>
      </c>
      <c r="M129">
        <v>4</v>
      </c>
      <c r="N129" t="s">
        <v>20</v>
      </c>
      <c r="O129" s="1">
        <f t="shared" si="2"/>
        <v>40</v>
      </c>
      <c r="P129" s="1">
        <f t="shared" si="3"/>
        <v>0.13377926421404682</v>
      </c>
    </row>
    <row r="130" spans="1:16" x14ac:dyDescent="0.3">
      <c r="A130" t="s">
        <v>79</v>
      </c>
      <c r="B130" t="s">
        <v>39</v>
      </c>
      <c r="C130" s="1">
        <v>0.88190000000000002</v>
      </c>
      <c r="D130" s="1">
        <v>0.99009999999999998</v>
      </c>
      <c r="E130" s="1">
        <v>0.45610000000000001</v>
      </c>
      <c r="F130" s="1">
        <v>0.29549999999999998</v>
      </c>
      <c r="G130" s="1">
        <v>1</v>
      </c>
      <c r="H130">
        <v>13</v>
      </c>
      <c r="I130">
        <v>31</v>
      </c>
      <c r="J130">
        <v>249</v>
      </c>
      <c r="K130">
        <v>0</v>
      </c>
      <c r="L130">
        <v>1</v>
      </c>
      <c r="M130">
        <v>9</v>
      </c>
      <c r="N130" t="s">
        <v>23</v>
      </c>
      <c r="O130" s="1">
        <f t="shared" si="2"/>
        <v>69.230769230769226</v>
      </c>
      <c r="P130" s="1">
        <f t="shared" si="3"/>
        <v>0.15017064846416384</v>
      </c>
    </row>
    <row r="131" spans="1:16" x14ac:dyDescent="0.3">
      <c r="A131" t="s">
        <v>80</v>
      </c>
      <c r="B131" t="s">
        <v>17</v>
      </c>
      <c r="C131" s="1">
        <v>0.76570000000000005</v>
      </c>
      <c r="D131" s="1">
        <v>0.99480000000000002</v>
      </c>
      <c r="E131" s="1">
        <v>0.88890000000000002</v>
      </c>
      <c r="F131" s="1">
        <v>0.8</v>
      </c>
      <c r="G131" s="1">
        <v>1</v>
      </c>
      <c r="H131">
        <v>8</v>
      </c>
      <c r="I131">
        <v>2</v>
      </c>
      <c r="J131">
        <v>285</v>
      </c>
      <c r="K131">
        <v>0</v>
      </c>
      <c r="L131">
        <v>1</v>
      </c>
      <c r="M131">
        <v>8</v>
      </c>
      <c r="N131" t="s">
        <v>18</v>
      </c>
      <c r="O131" s="1">
        <f t="shared" ref="O131:O194" si="4">M131/(H131+K131)*100</f>
        <v>100</v>
      </c>
      <c r="P131" s="1">
        <f t="shared" ref="P131:P194" si="5">(H131+I131)/(H131+I131+J131+K131)</f>
        <v>3.3898305084745763E-2</v>
      </c>
    </row>
    <row r="132" spans="1:16" x14ac:dyDescent="0.3">
      <c r="A132" t="s">
        <v>80</v>
      </c>
      <c r="B132" t="s">
        <v>76</v>
      </c>
      <c r="C132" s="1">
        <v>0.67769999999999997</v>
      </c>
      <c r="D132" s="1">
        <v>0.94679999999999997</v>
      </c>
      <c r="E132" s="1">
        <v>0.35510000000000003</v>
      </c>
      <c r="F132" s="1">
        <v>0.21840000000000001</v>
      </c>
      <c r="G132" s="1">
        <v>0.95</v>
      </c>
      <c r="H132">
        <v>19</v>
      </c>
      <c r="I132">
        <v>68</v>
      </c>
      <c r="J132">
        <v>212</v>
      </c>
      <c r="K132">
        <v>1</v>
      </c>
      <c r="L132">
        <v>1</v>
      </c>
      <c r="M132">
        <v>8</v>
      </c>
      <c r="N132" t="s">
        <v>20</v>
      </c>
      <c r="O132" s="1">
        <f t="shared" si="4"/>
        <v>40</v>
      </c>
      <c r="P132" s="1">
        <f t="shared" si="5"/>
        <v>0.28999999999999998</v>
      </c>
    </row>
    <row r="133" spans="1:16" x14ac:dyDescent="0.3">
      <c r="A133" t="s">
        <v>80</v>
      </c>
      <c r="B133" t="s">
        <v>39</v>
      </c>
      <c r="C133" s="1">
        <v>0.89549999999999996</v>
      </c>
      <c r="D133" s="1">
        <v>0.99070000000000003</v>
      </c>
      <c r="E133" s="1">
        <v>0.42620000000000002</v>
      </c>
      <c r="F133" s="1">
        <v>0.27079999999999999</v>
      </c>
      <c r="G133" s="1">
        <v>1</v>
      </c>
      <c r="H133">
        <v>13</v>
      </c>
      <c r="I133">
        <v>35</v>
      </c>
      <c r="J133">
        <v>245</v>
      </c>
      <c r="K133">
        <v>0</v>
      </c>
      <c r="L133">
        <v>1</v>
      </c>
      <c r="M133">
        <v>9</v>
      </c>
      <c r="N133" t="s">
        <v>23</v>
      </c>
      <c r="O133" s="1">
        <f t="shared" si="4"/>
        <v>69.230769230769226</v>
      </c>
      <c r="P133" s="1">
        <f t="shared" si="5"/>
        <v>0.16382252559726962</v>
      </c>
    </row>
    <row r="134" spans="1:16" x14ac:dyDescent="0.3">
      <c r="A134" t="s">
        <v>81</v>
      </c>
      <c r="B134" t="s">
        <v>76</v>
      </c>
      <c r="C134" s="1">
        <v>0.83309999999999995</v>
      </c>
      <c r="D134" s="1">
        <v>0.96660000000000001</v>
      </c>
      <c r="E134" s="1">
        <v>0.3115</v>
      </c>
      <c r="F134" s="1">
        <v>0.18629999999999999</v>
      </c>
      <c r="G134" s="1">
        <v>0.95</v>
      </c>
      <c r="H134">
        <v>19</v>
      </c>
      <c r="I134">
        <v>83</v>
      </c>
      <c r="J134">
        <v>197</v>
      </c>
      <c r="K134">
        <v>1</v>
      </c>
      <c r="L134">
        <v>1</v>
      </c>
      <c r="M134">
        <v>9</v>
      </c>
      <c r="N134" t="s">
        <v>20</v>
      </c>
      <c r="O134" s="1">
        <f t="shared" si="4"/>
        <v>45</v>
      </c>
      <c r="P134" s="1">
        <f t="shared" si="5"/>
        <v>0.34</v>
      </c>
    </row>
    <row r="135" spans="1:16" x14ac:dyDescent="0.3">
      <c r="A135" t="s">
        <v>81</v>
      </c>
      <c r="B135" t="s">
        <v>39</v>
      </c>
      <c r="C135" s="1">
        <v>0.88890000000000002</v>
      </c>
      <c r="D135" s="1">
        <v>0.99039999999999995</v>
      </c>
      <c r="E135" s="1">
        <v>0.50980000000000003</v>
      </c>
      <c r="F135" s="1">
        <v>0.34210000000000002</v>
      </c>
      <c r="G135" s="1">
        <v>1</v>
      </c>
      <c r="H135">
        <v>13</v>
      </c>
      <c r="I135">
        <v>25</v>
      </c>
      <c r="J135">
        <v>255</v>
      </c>
      <c r="K135">
        <v>0</v>
      </c>
      <c r="L135">
        <v>1</v>
      </c>
      <c r="M135">
        <v>10</v>
      </c>
      <c r="N135" t="s">
        <v>23</v>
      </c>
      <c r="O135" s="1">
        <f t="shared" si="4"/>
        <v>76.923076923076934</v>
      </c>
      <c r="P135" s="1">
        <f t="shared" si="5"/>
        <v>0.12969283276450511</v>
      </c>
    </row>
    <row r="136" spans="1:16" x14ac:dyDescent="0.3">
      <c r="A136" t="s">
        <v>81</v>
      </c>
      <c r="B136" t="s">
        <v>42</v>
      </c>
      <c r="C136" s="1">
        <v>0.4446</v>
      </c>
      <c r="D136" s="1">
        <v>0.89690000000000003</v>
      </c>
      <c r="E136" s="1">
        <v>0.60870000000000002</v>
      </c>
      <c r="F136" s="1">
        <v>0.53849999999999998</v>
      </c>
      <c r="G136" s="1">
        <v>0.7</v>
      </c>
      <c r="H136">
        <v>14</v>
      </c>
      <c r="I136">
        <v>12</v>
      </c>
      <c r="J136">
        <v>266</v>
      </c>
      <c r="K136">
        <v>6</v>
      </c>
      <c r="L136">
        <v>3</v>
      </c>
      <c r="M136">
        <v>5</v>
      </c>
      <c r="N136" t="s">
        <v>18</v>
      </c>
      <c r="O136" s="1">
        <f t="shared" si="4"/>
        <v>25</v>
      </c>
      <c r="P136" s="1">
        <f t="shared" si="5"/>
        <v>8.7248322147651006E-2</v>
      </c>
    </row>
    <row r="137" spans="1:16" x14ac:dyDescent="0.3">
      <c r="A137" t="s">
        <v>82</v>
      </c>
      <c r="B137" t="s">
        <v>15</v>
      </c>
      <c r="C137" s="1">
        <v>0.48209999999999997</v>
      </c>
      <c r="D137" s="1">
        <v>0.98199999999999998</v>
      </c>
      <c r="E137" s="1">
        <v>0.57140000000000002</v>
      </c>
      <c r="F137" s="1">
        <v>0.46150000000000002</v>
      </c>
      <c r="G137" s="1">
        <v>0.75</v>
      </c>
      <c r="H137">
        <v>6</v>
      </c>
      <c r="I137">
        <v>7</v>
      </c>
      <c r="J137">
        <v>257</v>
      </c>
      <c r="K137">
        <v>2</v>
      </c>
      <c r="L137">
        <v>2</v>
      </c>
      <c r="M137">
        <v>5</v>
      </c>
      <c r="N137" t="s">
        <v>16</v>
      </c>
      <c r="O137" s="1">
        <f t="shared" si="4"/>
        <v>62.5</v>
      </c>
      <c r="P137" s="1">
        <f t="shared" si="5"/>
        <v>4.779411764705882E-2</v>
      </c>
    </row>
    <row r="138" spans="1:16" x14ac:dyDescent="0.3">
      <c r="A138" t="s">
        <v>82</v>
      </c>
      <c r="B138" t="s">
        <v>76</v>
      </c>
      <c r="C138" s="1">
        <v>0.76749999999999996</v>
      </c>
      <c r="D138" s="1">
        <v>0.96109999999999995</v>
      </c>
      <c r="E138" s="1">
        <v>0.40860000000000002</v>
      </c>
      <c r="F138" s="1">
        <v>0.26029999999999998</v>
      </c>
      <c r="G138" s="1">
        <v>0.95</v>
      </c>
      <c r="H138">
        <v>19</v>
      </c>
      <c r="I138">
        <v>54</v>
      </c>
      <c r="J138">
        <v>226</v>
      </c>
      <c r="K138">
        <v>1</v>
      </c>
      <c r="L138">
        <v>1</v>
      </c>
      <c r="M138">
        <v>9</v>
      </c>
      <c r="N138" t="s">
        <v>20</v>
      </c>
      <c r="O138" s="1">
        <f t="shared" si="4"/>
        <v>45</v>
      </c>
      <c r="P138" s="1">
        <f t="shared" si="5"/>
        <v>0.24333333333333335</v>
      </c>
    </row>
    <row r="139" spans="1:16" x14ac:dyDescent="0.3">
      <c r="A139" t="s">
        <v>82</v>
      </c>
      <c r="B139" t="s">
        <v>39</v>
      </c>
      <c r="C139" s="1">
        <v>0.89500000000000002</v>
      </c>
      <c r="D139" s="1">
        <v>0.99199999999999999</v>
      </c>
      <c r="E139" s="1">
        <v>0.38240000000000002</v>
      </c>
      <c r="F139" s="1">
        <v>0.2364</v>
      </c>
      <c r="G139" s="1">
        <v>1</v>
      </c>
      <c r="H139">
        <v>13</v>
      </c>
      <c r="I139">
        <v>42</v>
      </c>
      <c r="J139">
        <v>238</v>
      </c>
      <c r="K139">
        <v>0</v>
      </c>
      <c r="L139">
        <v>1</v>
      </c>
      <c r="M139">
        <v>9</v>
      </c>
      <c r="N139" t="s">
        <v>23</v>
      </c>
      <c r="O139" s="1">
        <f t="shared" si="4"/>
        <v>69.230769230769226</v>
      </c>
      <c r="P139" s="1">
        <f t="shared" si="5"/>
        <v>0.18771331058020477</v>
      </c>
    </row>
    <row r="140" spans="1:16" x14ac:dyDescent="0.3">
      <c r="A140" t="s">
        <v>83</v>
      </c>
      <c r="B140" t="s">
        <v>30</v>
      </c>
      <c r="C140" s="1">
        <v>1</v>
      </c>
      <c r="D140" s="1">
        <v>1</v>
      </c>
      <c r="E140" s="1">
        <v>0.46150000000000002</v>
      </c>
      <c r="F140" s="1">
        <v>0.3</v>
      </c>
      <c r="G140" s="1">
        <v>1</v>
      </c>
      <c r="H140">
        <v>3</v>
      </c>
      <c r="I140">
        <v>7</v>
      </c>
      <c r="J140">
        <v>289</v>
      </c>
      <c r="K140">
        <v>0</v>
      </c>
      <c r="L140">
        <v>1</v>
      </c>
      <c r="M140">
        <v>3</v>
      </c>
      <c r="N140" t="s">
        <v>18</v>
      </c>
      <c r="O140" s="1">
        <f t="shared" si="4"/>
        <v>100</v>
      </c>
      <c r="P140" s="1">
        <f t="shared" si="5"/>
        <v>3.3444816053511704E-2</v>
      </c>
    </row>
    <row r="141" spans="1:16" x14ac:dyDescent="0.3">
      <c r="A141" t="s">
        <v>83</v>
      </c>
      <c r="B141" t="s">
        <v>19</v>
      </c>
      <c r="C141" s="1">
        <v>0.83169999999999999</v>
      </c>
      <c r="D141" s="1">
        <v>0.91269999999999996</v>
      </c>
      <c r="E141" s="1">
        <v>0.82609999999999995</v>
      </c>
      <c r="F141" s="1">
        <v>0.79169999999999996</v>
      </c>
      <c r="G141" s="1">
        <v>0.86360000000000003</v>
      </c>
      <c r="H141">
        <v>19</v>
      </c>
      <c r="I141">
        <v>5</v>
      </c>
      <c r="J141">
        <v>273</v>
      </c>
      <c r="K141">
        <v>3</v>
      </c>
      <c r="L141">
        <v>1</v>
      </c>
      <c r="M141">
        <v>9</v>
      </c>
      <c r="N141" t="s">
        <v>20</v>
      </c>
      <c r="O141" s="1">
        <f t="shared" si="4"/>
        <v>40.909090909090914</v>
      </c>
      <c r="P141" s="1">
        <f t="shared" si="5"/>
        <v>0.08</v>
      </c>
    </row>
    <row r="142" spans="1:16" x14ac:dyDescent="0.3">
      <c r="A142" t="s">
        <v>83</v>
      </c>
      <c r="B142" t="s">
        <v>84</v>
      </c>
      <c r="C142" s="1">
        <v>0.35770000000000002</v>
      </c>
      <c r="D142" s="1">
        <v>0.97660000000000002</v>
      </c>
      <c r="E142" s="1">
        <v>0.17499999999999999</v>
      </c>
      <c r="F142" s="1">
        <v>9.5899999999999999E-2</v>
      </c>
      <c r="G142" s="1">
        <v>1</v>
      </c>
      <c r="H142">
        <v>7</v>
      </c>
      <c r="I142">
        <v>66</v>
      </c>
      <c r="J142">
        <v>221</v>
      </c>
      <c r="K142">
        <v>0</v>
      </c>
      <c r="L142">
        <v>5</v>
      </c>
      <c r="M142">
        <v>4</v>
      </c>
      <c r="N142" t="s">
        <v>23</v>
      </c>
      <c r="O142" s="1">
        <f t="shared" si="4"/>
        <v>57.142857142857139</v>
      </c>
      <c r="P142" s="1">
        <f t="shared" si="5"/>
        <v>0.24829931972789115</v>
      </c>
    </row>
    <row r="143" spans="1:16" x14ac:dyDescent="0.3">
      <c r="A143" t="s">
        <v>85</v>
      </c>
      <c r="B143" t="s">
        <v>30</v>
      </c>
      <c r="C143" s="1">
        <v>1</v>
      </c>
      <c r="D143" s="1">
        <v>1</v>
      </c>
      <c r="E143" s="1">
        <v>0.5</v>
      </c>
      <c r="F143" s="1">
        <v>0.33329999999999999</v>
      </c>
      <c r="G143" s="1">
        <v>1</v>
      </c>
      <c r="H143">
        <v>3</v>
      </c>
      <c r="I143">
        <v>6</v>
      </c>
      <c r="J143">
        <v>290</v>
      </c>
      <c r="K143">
        <v>0</v>
      </c>
      <c r="L143">
        <v>1</v>
      </c>
      <c r="M143">
        <v>3</v>
      </c>
      <c r="N143" t="s">
        <v>18</v>
      </c>
      <c r="O143" s="1">
        <f t="shared" si="4"/>
        <v>100</v>
      </c>
      <c r="P143" s="1">
        <f t="shared" si="5"/>
        <v>3.0100334448160536E-2</v>
      </c>
    </row>
    <row r="144" spans="1:16" x14ac:dyDescent="0.3">
      <c r="A144" t="s">
        <v>85</v>
      </c>
      <c r="B144" t="s">
        <v>19</v>
      </c>
      <c r="C144" s="1">
        <v>0.85750000000000004</v>
      </c>
      <c r="D144" s="1">
        <v>0.91890000000000005</v>
      </c>
      <c r="E144" s="1">
        <v>0.86360000000000003</v>
      </c>
      <c r="F144" s="1">
        <v>0.86360000000000003</v>
      </c>
      <c r="G144" s="1">
        <v>0.86360000000000003</v>
      </c>
      <c r="H144">
        <v>19</v>
      </c>
      <c r="I144">
        <v>3</v>
      </c>
      <c r="J144">
        <v>275</v>
      </c>
      <c r="K144">
        <v>3</v>
      </c>
      <c r="L144">
        <v>1</v>
      </c>
      <c r="M144">
        <v>10</v>
      </c>
      <c r="N144" t="s">
        <v>20</v>
      </c>
      <c r="O144" s="1">
        <f t="shared" si="4"/>
        <v>45.454545454545453</v>
      </c>
      <c r="P144" s="1">
        <f t="shared" si="5"/>
        <v>7.3333333333333334E-2</v>
      </c>
    </row>
    <row r="145" spans="1:16" x14ac:dyDescent="0.3">
      <c r="A145" t="s">
        <v>85</v>
      </c>
      <c r="B145" t="s">
        <v>86</v>
      </c>
      <c r="C145" s="1">
        <v>0.25619999999999998</v>
      </c>
      <c r="D145" s="1">
        <v>0.78280000000000005</v>
      </c>
      <c r="E145" s="1">
        <v>0.16470000000000001</v>
      </c>
      <c r="F145" s="1">
        <v>9.2100000000000001E-2</v>
      </c>
      <c r="G145" s="1">
        <v>0.77780000000000005</v>
      </c>
      <c r="H145">
        <v>7</v>
      </c>
      <c r="I145">
        <v>69</v>
      </c>
      <c r="J145">
        <v>220</v>
      </c>
      <c r="K145">
        <v>2</v>
      </c>
      <c r="L145">
        <v>1</v>
      </c>
      <c r="M145">
        <v>2</v>
      </c>
      <c r="N145" t="s">
        <v>23</v>
      </c>
      <c r="O145" s="1">
        <f t="shared" si="4"/>
        <v>22.222222222222221</v>
      </c>
      <c r="P145" s="1">
        <f t="shared" si="5"/>
        <v>0.25503355704697989</v>
      </c>
    </row>
    <row r="146" spans="1:16" x14ac:dyDescent="0.3">
      <c r="A146" t="s">
        <v>87</v>
      </c>
      <c r="B146" t="s">
        <v>78</v>
      </c>
      <c r="C146" s="1">
        <v>0.51229999999999998</v>
      </c>
      <c r="D146" s="1">
        <v>0.91649999999999998</v>
      </c>
      <c r="E146" s="1">
        <v>0</v>
      </c>
      <c r="F146" s="1">
        <v>0</v>
      </c>
      <c r="G146" s="1">
        <v>0</v>
      </c>
      <c r="H146">
        <v>0</v>
      </c>
      <c r="I146">
        <v>0</v>
      </c>
      <c r="J146">
        <v>282</v>
      </c>
      <c r="K146">
        <v>18</v>
      </c>
      <c r="L146">
        <v>1</v>
      </c>
      <c r="M146">
        <v>7</v>
      </c>
      <c r="N146" t="s">
        <v>20</v>
      </c>
      <c r="O146" s="1">
        <f t="shared" si="4"/>
        <v>38.888888888888893</v>
      </c>
      <c r="P146" s="1">
        <f t="shared" si="5"/>
        <v>0</v>
      </c>
    </row>
    <row r="147" spans="1:16" x14ac:dyDescent="0.3">
      <c r="A147" t="s">
        <v>87</v>
      </c>
      <c r="B147" t="s">
        <v>17</v>
      </c>
      <c r="C147" s="1">
        <v>0.82279999999999998</v>
      </c>
      <c r="D147" s="1">
        <v>0.99650000000000005</v>
      </c>
      <c r="E147" s="1">
        <v>0.82350000000000001</v>
      </c>
      <c r="F147" s="1">
        <v>0.77780000000000005</v>
      </c>
      <c r="G147" s="1">
        <v>0.875</v>
      </c>
      <c r="H147">
        <v>7</v>
      </c>
      <c r="I147">
        <v>2</v>
      </c>
      <c r="J147">
        <v>285</v>
      </c>
      <c r="K147">
        <v>1</v>
      </c>
      <c r="L147">
        <v>1</v>
      </c>
      <c r="M147">
        <v>8</v>
      </c>
      <c r="N147" t="s">
        <v>18</v>
      </c>
      <c r="O147" s="1">
        <f t="shared" si="4"/>
        <v>100</v>
      </c>
      <c r="P147" s="1">
        <f t="shared" si="5"/>
        <v>3.0508474576271188E-2</v>
      </c>
    </row>
    <row r="148" spans="1:16" x14ac:dyDescent="0.3">
      <c r="A148" t="s">
        <v>87</v>
      </c>
      <c r="B148" t="s">
        <v>39</v>
      </c>
      <c r="C148" s="1">
        <v>0.93600000000000005</v>
      </c>
      <c r="D148" s="1">
        <v>0.99480000000000002</v>
      </c>
      <c r="E148" s="1">
        <v>0.4</v>
      </c>
      <c r="F148" s="1">
        <v>0.25</v>
      </c>
      <c r="G148" s="1">
        <v>1</v>
      </c>
      <c r="H148">
        <v>13</v>
      </c>
      <c r="I148">
        <v>39</v>
      </c>
      <c r="J148">
        <v>241</v>
      </c>
      <c r="K148">
        <v>0</v>
      </c>
      <c r="L148">
        <v>1</v>
      </c>
      <c r="M148">
        <v>10</v>
      </c>
      <c r="N148" t="s">
        <v>23</v>
      </c>
      <c r="O148" s="1">
        <f t="shared" si="4"/>
        <v>76.923076923076934</v>
      </c>
      <c r="P148" s="1">
        <f t="shared" si="5"/>
        <v>0.17747440273037543</v>
      </c>
    </row>
    <row r="149" spans="1:16" x14ac:dyDescent="0.3">
      <c r="A149" t="s">
        <v>88</v>
      </c>
      <c r="B149" t="s">
        <v>17</v>
      </c>
      <c r="C149" s="1">
        <v>0.81059999999999999</v>
      </c>
      <c r="D149" s="1">
        <v>0.99609999999999999</v>
      </c>
      <c r="E149" s="1">
        <v>0.84209999999999996</v>
      </c>
      <c r="F149" s="1">
        <v>0.72729999999999995</v>
      </c>
      <c r="G149" s="1">
        <v>1</v>
      </c>
      <c r="H149">
        <v>8</v>
      </c>
      <c r="I149">
        <v>3</v>
      </c>
      <c r="J149">
        <v>284</v>
      </c>
      <c r="K149">
        <v>0</v>
      </c>
      <c r="L149">
        <v>1</v>
      </c>
      <c r="M149">
        <v>8</v>
      </c>
      <c r="N149" t="s">
        <v>18</v>
      </c>
      <c r="O149" s="1">
        <f t="shared" si="4"/>
        <v>100</v>
      </c>
      <c r="P149" s="1">
        <f t="shared" si="5"/>
        <v>3.7288135593220341E-2</v>
      </c>
    </row>
    <row r="150" spans="1:16" x14ac:dyDescent="0.3">
      <c r="A150" t="s">
        <v>88</v>
      </c>
      <c r="B150" t="s">
        <v>76</v>
      </c>
      <c r="C150" s="1">
        <v>0.66769999999999996</v>
      </c>
      <c r="D150" s="1">
        <v>0.94379999999999997</v>
      </c>
      <c r="E150" s="1">
        <v>0.30080000000000001</v>
      </c>
      <c r="F150" s="1">
        <v>0.17699999999999999</v>
      </c>
      <c r="G150" s="1">
        <v>1</v>
      </c>
      <c r="H150">
        <v>20</v>
      </c>
      <c r="I150">
        <v>93</v>
      </c>
      <c r="J150">
        <v>187</v>
      </c>
      <c r="K150">
        <v>0</v>
      </c>
      <c r="L150">
        <v>1</v>
      </c>
      <c r="M150">
        <v>9</v>
      </c>
      <c r="N150" t="s">
        <v>20</v>
      </c>
      <c r="O150" s="1">
        <f t="shared" si="4"/>
        <v>45</v>
      </c>
      <c r="P150" s="1">
        <f t="shared" si="5"/>
        <v>0.37666666666666665</v>
      </c>
    </row>
    <row r="151" spans="1:16" x14ac:dyDescent="0.3">
      <c r="A151" t="s">
        <v>88</v>
      </c>
      <c r="B151" t="s">
        <v>39</v>
      </c>
      <c r="C151" s="1">
        <v>0.91810000000000003</v>
      </c>
      <c r="D151" s="1">
        <v>0.99529999999999996</v>
      </c>
      <c r="E151" s="1">
        <v>0.49059999999999998</v>
      </c>
      <c r="F151" s="1">
        <v>0.32500000000000001</v>
      </c>
      <c r="G151" s="1">
        <v>1</v>
      </c>
      <c r="H151">
        <v>13</v>
      </c>
      <c r="I151">
        <v>27</v>
      </c>
      <c r="J151">
        <v>253</v>
      </c>
      <c r="K151">
        <v>0</v>
      </c>
      <c r="L151">
        <v>1</v>
      </c>
      <c r="M151">
        <v>9</v>
      </c>
      <c r="N151" t="s">
        <v>23</v>
      </c>
      <c r="O151" s="1">
        <f t="shared" si="4"/>
        <v>69.230769230769226</v>
      </c>
      <c r="P151" s="1">
        <f t="shared" si="5"/>
        <v>0.13651877133105803</v>
      </c>
    </row>
    <row r="152" spans="1:16" x14ac:dyDescent="0.3">
      <c r="A152" t="s">
        <v>89</v>
      </c>
      <c r="B152" t="s">
        <v>35</v>
      </c>
      <c r="C152" s="1">
        <v>0.89119999999999999</v>
      </c>
      <c r="D152" s="1">
        <v>0.97509999999999997</v>
      </c>
      <c r="E152" s="1">
        <v>0.57140000000000002</v>
      </c>
      <c r="F152" s="1">
        <v>1</v>
      </c>
      <c r="G152" s="1">
        <v>0.4</v>
      </c>
      <c r="H152">
        <v>4</v>
      </c>
      <c r="I152">
        <v>0</v>
      </c>
      <c r="J152">
        <v>293</v>
      </c>
      <c r="K152">
        <v>6</v>
      </c>
      <c r="L152">
        <v>1</v>
      </c>
      <c r="M152">
        <v>9</v>
      </c>
      <c r="N152" t="s">
        <v>18</v>
      </c>
      <c r="O152" s="1">
        <f t="shared" si="4"/>
        <v>90</v>
      </c>
      <c r="P152" s="1">
        <f t="shared" si="5"/>
        <v>1.3201320132013201E-2</v>
      </c>
    </row>
    <row r="153" spans="1:16" x14ac:dyDescent="0.3">
      <c r="A153" t="s">
        <v>89</v>
      </c>
      <c r="B153" t="s">
        <v>76</v>
      </c>
      <c r="C153" s="1">
        <v>0.67879999999999996</v>
      </c>
      <c r="D153" s="1">
        <v>0.94840000000000002</v>
      </c>
      <c r="E153" s="1">
        <v>0.33629999999999999</v>
      </c>
      <c r="F153" s="1">
        <v>0.20430000000000001</v>
      </c>
      <c r="G153" s="1">
        <v>0.95</v>
      </c>
      <c r="H153">
        <v>19</v>
      </c>
      <c r="I153">
        <v>74</v>
      </c>
      <c r="J153">
        <v>206</v>
      </c>
      <c r="K153">
        <v>1</v>
      </c>
      <c r="L153">
        <v>1</v>
      </c>
      <c r="M153">
        <v>8</v>
      </c>
      <c r="N153" t="s">
        <v>20</v>
      </c>
      <c r="O153" s="1">
        <f t="shared" si="4"/>
        <v>40</v>
      </c>
      <c r="P153" s="1">
        <f t="shared" si="5"/>
        <v>0.31</v>
      </c>
    </row>
    <row r="154" spans="1:16" x14ac:dyDescent="0.3">
      <c r="A154" t="s">
        <v>89</v>
      </c>
      <c r="B154" t="s">
        <v>33</v>
      </c>
      <c r="C154" s="1">
        <v>0.61299999999999999</v>
      </c>
      <c r="D154" s="1">
        <v>0.93010000000000004</v>
      </c>
      <c r="E154" s="1">
        <v>0.48980000000000001</v>
      </c>
      <c r="F154" s="1">
        <v>0.34289999999999998</v>
      </c>
      <c r="G154" s="1">
        <v>0.85709999999999997</v>
      </c>
      <c r="H154">
        <v>12</v>
      </c>
      <c r="I154">
        <v>23</v>
      </c>
      <c r="J154">
        <v>260</v>
      </c>
      <c r="K154">
        <v>2</v>
      </c>
      <c r="L154">
        <v>1</v>
      </c>
      <c r="M154">
        <v>7</v>
      </c>
      <c r="N154" t="s">
        <v>23</v>
      </c>
      <c r="O154" s="1">
        <f t="shared" si="4"/>
        <v>50</v>
      </c>
      <c r="P154" s="1">
        <f t="shared" si="5"/>
        <v>0.11784511784511785</v>
      </c>
    </row>
    <row r="155" spans="1:16" x14ac:dyDescent="0.3">
      <c r="A155" t="s">
        <v>90</v>
      </c>
      <c r="B155" t="s">
        <v>17</v>
      </c>
      <c r="C155" s="1">
        <v>0.82279999999999998</v>
      </c>
      <c r="D155" s="1">
        <v>0.99650000000000005</v>
      </c>
      <c r="E155" s="1">
        <v>0.76190000000000002</v>
      </c>
      <c r="F155" s="1">
        <v>0.61539999999999995</v>
      </c>
      <c r="G155" s="1">
        <v>1</v>
      </c>
      <c r="H155">
        <v>8</v>
      </c>
      <c r="I155">
        <v>5</v>
      </c>
      <c r="J155">
        <v>282</v>
      </c>
      <c r="K155">
        <v>0</v>
      </c>
      <c r="L155">
        <v>1</v>
      </c>
      <c r="M155">
        <v>8</v>
      </c>
      <c r="N155" t="s">
        <v>18</v>
      </c>
      <c r="O155" s="1">
        <f t="shared" si="4"/>
        <v>100</v>
      </c>
      <c r="P155" s="1">
        <f t="shared" si="5"/>
        <v>4.4067796610169491E-2</v>
      </c>
    </row>
    <row r="156" spans="1:16" x14ac:dyDescent="0.3">
      <c r="A156" t="s">
        <v>90</v>
      </c>
      <c r="B156" t="s">
        <v>76</v>
      </c>
      <c r="C156" s="1">
        <v>0.70279999999999998</v>
      </c>
      <c r="D156" s="1">
        <v>0.94140000000000001</v>
      </c>
      <c r="E156" s="1">
        <v>0.2969</v>
      </c>
      <c r="F156" s="1">
        <v>0.1759</v>
      </c>
      <c r="G156" s="1">
        <v>0.95</v>
      </c>
      <c r="H156">
        <v>19</v>
      </c>
      <c r="I156">
        <v>89</v>
      </c>
      <c r="J156">
        <v>191</v>
      </c>
      <c r="K156">
        <v>1</v>
      </c>
      <c r="L156">
        <v>1</v>
      </c>
      <c r="M156">
        <v>9</v>
      </c>
      <c r="N156" t="s">
        <v>20</v>
      </c>
      <c r="O156" s="1">
        <f t="shared" si="4"/>
        <v>45</v>
      </c>
      <c r="P156" s="1">
        <f t="shared" si="5"/>
        <v>0.36</v>
      </c>
    </row>
    <row r="157" spans="1:16" x14ac:dyDescent="0.3">
      <c r="A157" t="s">
        <v>90</v>
      </c>
      <c r="B157" t="s">
        <v>39</v>
      </c>
      <c r="C157" s="1">
        <v>0.97570000000000001</v>
      </c>
      <c r="D157" s="1">
        <v>0.99839999999999995</v>
      </c>
      <c r="E157" s="1">
        <v>0.49059999999999998</v>
      </c>
      <c r="F157" s="1">
        <v>0.32500000000000001</v>
      </c>
      <c r="G157" s="1">
        <v>1</v>
      </c>
      <c r="H157">
        <v>13</v>
      </c>
      <c r="I157">
        <v>27</v>
      </c>
      <c r="J157">
        <v>253</v>
      </c>
      <c r="K157">
        <v>0</v>
      </c>
      <c r="L157">
        <v>1</v>
      </c>
      <c r="M157">
        <v>10</v>
      </c>
      <c r="N157" t="s">
        <v>23</v>
      </c>
      <c r="O157" s="1">
        <f t="shared" si="4"/>
        <v>76.923076923076934</v>
      </c>
      <c r="P157" s="1">
        <f t="shared" si="5"/>
        <v>0.13651877133105803</v>
      </c>
    </row>
    <row r="158" spans="1:16" x14ac:dyDescent="0.3">
      <c r="A158" t="s">
        <v>91</v>
      </c>
      <c r="B158" t="s">
        <v>76</v>
      </c>
      <c r="C158" s="1">
        <v>0.82850000000000001</v>
      </c>
      <c r="D158" s="1">
        <v>0.96340000000000003</v>
      </c>
      <c r="E158" s="1">
        <v>0.2969</v>
      </c>
      <c r="F158" s="1">
        <v>0.1759</v>
      </c>
      <c r="G158" s="1">
        <v>0.95</v>
      </c>
      <c r="H158">
        <v>19</v>
      </c>
      <c r="I158">
        <v>89</v>
      </c>
      <c r="J158">
        <v>191</v>
      </c>
      <c r="K158">
        <v>1</v>
      </c>
      <c r="L158">
        <v>1</v>
      </c>
      <c r="M158">
        <v>9</v>
      </c>
      <c r="N158" t="s">
        <v>20</v>
      </c>
      <c r="O158" s="1">
        <f t="shared" si="4"/>
        <v>45</v>
      </c>
      <c r="P158" s="1">
        <f t="shared" si="5"/>
        <v>0.36</v>
      </c>
    </row>
    <row r="159" spans="1:16" x14ac:dyDescent="0.3">
      <c r="A159" t="s">
        <v>91</v>
      </c>
      <c r="B159" t="s">
        <v>39</v>
      </c>
      <c r="C159" s="1">
        <v>0.91790000000000005</v>
      </c>
      <c r="D159" s="1">
        <v>0.99450000000000005</v>
      </c>
      <c r="E159" s="1">
        <v>0.46429999999999999</v>
      </c>
      <c r="F159" s="1">
        <v>0.30230000000000001</v>
      </c>
      <c r="G159" s="1">
        <v>1</v>
      </c>
      <c r="H159">
        <v>13</v>
      </c>
      <c r="I159">
        <v>30</v>
      </c>
      <c r="J159">
        <v>250</v>
      </c>
      <c r="K159">
        <v>0</v>
      </c>
      <c r="L159">
        <v>1</v>
      </c>
      <c r="M159">
        <v>10</v>
      </c>
      <c r="N159" t="s">
        <v>23</v>
      </c>
      <c r="O159" s="1">
        <f t="shared" si="4"/>
        <v>76.923076923076934</v>
      </c>
      <c r="P159" s="1">
        <f t="shared" si="5"/>
        <v>0.14675767918088736</v>
      </c>
    </row>
    <row r="160" spans="1:16" x14ac:dyDescent="0.3">
      <c r="A160" t="s">
        <v>91</v>
      </c>
      <c r="B160" t="s">
        <v>42</v>
      </c>
      <c r="C160" s="1">
        <v>0.4178</v>
      </c>
      <c r="D160" s="1">
        <v>0.90759999999999996</v>
      </c>
      <c r="E160" s="1">
        <v>0.57140000000000002</v>
      </c>
      <c r="F160" s="1">
        <v>0.48280000000000001</v>
      </c>
      <c r="G160" s="1">
        <v>0.7</v>
      </c>
      <c r="H160">
        <v>14</v>
      </c>
      <c r="I160">
        <v>15</v>
      </c>
      <c r="J160">
        <v>263</v>
      </c>
      <c r="K160">
        <v>6</v>
      </c>
      <c r="L160">
        <v>5</v>
      </c>
      <c r="M160">
        <v>4</v>
      </c>
      <c r="N160" t="s">
        <v>18</v>
      </c>
      <c r="O160" s="1">
        <f t="shared" si="4"/>
        <v>20</v>
      </c>
      <c r="P160" s="1">
        <f t="shared" si="5"/>
        <v>9.7315436241610737E-2</v>
      </c>
    </row>
    <row r="161" spans="1:16" x14ac:dyDescent="0.3">
      <c r="A161" t="s">
        <v>92</v>
      </c>
      <c r="B161" t="s">
        <v>35</v>
      </c>
      <c r="C161" s="1">
        <v>0.75960000000000005</v>
      </c>
      <c r="D161" s="1">
        <v>0.97030000000000005</v>
      </c>
      <c r="E161" s="1">
        <v>0.46150000000000002</v>
      </c>
      <c r="F161" s="1">
        <v>1</v>
      </c>
      <c r="G161" s="1">
        <v>0.3</v>
      </c>
      <c r="H161">
        <v>3</v>
      </c>
      <c r="I161">
        <v>0</v>
      </c>
      <c r="J161">
        <v>293</v>
      </c>
      <c r="K161">
        <v>7</v>
      </c>
      <c r="L161">
        <v>1</v>
      </c>
      <c r="M161">
        <v>7</v>
      </c>
      <c r="N161" t="s">
        <v>18</v>
      </c>
      <c r="O161" s="1">
        <f t="shared" si="4"/>
        <v>70</v>
      </c>
      <c r="P161" s="1">
        <f t="shared" si="5"/>
        <v>9.9009900990099011E-3</v>
      </c>
    </row>
    <row r="162" spans="1:16" x14ac:dyDescent="0.3">
      <c r="A162" t="s">
        <v>92</v>
      </c>
      <c r="B162" t="s">
        <v>76</v>
      </c>
      <c r="C162" s="1">
        <v>0.67010000000000003</v>
      </c>
      <c r="D162" s="1">
        <v>0.94789999999999996</v>
      </c>
      <c r="E162" s="1">
        <v>0.37619999999999998</v>
      </c>
      <c r="F162" s="1">
        <v>0.2346</v>
      </c>
      <c r="G162" s="1">
        <v>0.95</v>
      </c>
      <c r="H162">
        <v>19</v>
      </c>
      <c r="I162">
        <v>62</v>
      </c>
      <c r="J162">
        <v>218</v>
      </c>
      <c r="K162">
        <v>1</v>
      </c>
      <c r="L162">
        <v>1</v>
      </c>
      <c r="M162">
        <v>8</v>
      </c>
      <c r="N162" t="s">
        <v>20</v>
      </c>
      <c r="O162" s="1">
        <f t="shared" si="4"/>
        <v>40</v>
      </c>
      <c r="P162" s="1">
        <f t="shared" si="5"/>
        <v>0.27</v>
      </c>
    </row>
    <row r="163" spans="1:16" x14ac:dyDescent="0.3">
      <c r="A163" t="s">
        <v>92</v>
      </c>
      <c r="B163" t="s">
        <v>39</v>
      </c>
      <c r="C163" s="1">
        <v>0.89370000000000005</v>
      </c>
      <c r="D163" s="1">
        <v>0.99199999999999999</v>
      </c>
      <c r="E163" s="1">
        <v>0.40620000000000001</v>
      </c>
      <c r="F163" s="1">
        <v>0.25490000000000002</v>
      </c>
      <c r="G163" s="1">
        <v>1</v>
      </c>
      <c r="H163">
        <v>13</v>
      </c>
      <c r="I163">
        <v>38</v>
      </c>
      <c r="J163">
        <v>242</v>
      </c>
      <c r="K163">
        <v>0</v>
      </c>
      <c r="L163">
        <v>1</v>
      </c>
      <c r="M163">
        <v>9</v>
      </c>
      <c r="N163" t="s">
        <v>23</v>
      </c>
      <c r="O163" s="1">
        <f t="shared" si="4"/>
        <v>69.230769230769226</v>
      </c>
      <c r="P163" s="1">
        <f t="shared" si="5"/>
        <v>0.17406143344709898</v>
      </c>
    </row>
    <row r="164" spans="1:16" x14ac:dyDescent="0.3">
      <c r="A164" t="s">
        <v>93</v>
      </c>
      <c r="B164" t="s">
        <v>30</v>
      </c>
      <c r="C164" s="1">
        <v>0.72219999999999995</v>
      </c>
      <c r="D164" s="1">
        <v>0.99550000000000005</v>
      </c>
      <c r="E164" s="1">
        <v>0.42859999999999998</v>
      </c>
      <c r="F164" s="1">
        <v>0.2727</v>
      </c>
      <c r="G164" s="1">
        <v>1</v>
      </c>
      <c r="H164">
        <v>3</v>
      </c>
      <c r="I164">
        <v>8</v>
      </c>
      <c r="J164">
        <v>288</v>
      </c>
      <c r="K164">
        <v>0</v>
      </c>
      <c r="L164">
        <v>1</v>
      </c>
      <c r="M164">
        <v>3</v>
      </c>
      <c r="N164" t="s">
        <v>18</v>
      </c>
      <c r="O164" s="1">
        <f t="shared" si="4"/>
        <v>100</v>
      </c>
      <c r="P164" s="1">
        <f t="shared" si="5"/>
        <v>3.678929765886288E-2</v>
      </c>
    </row>
    <row r="165" spans="1:16" x14ac:dyDescent="0.3">
      <c r="A165" t="s">
        <v>93</v>
      </c>
      <c r="B165" t="s">
        <v>76</v>
      </c>
      <c r="C165" s="1">
        <v>0.81850000000000001</v>
      </c>
      <c r="D165" s="1">
        <v>0.97119999999999995</v>
      </c>
      <c r="E165" s="1">
        <v>0.3175</v>
      </c>
      <c r="F165" s="1">
        <v>0.18870000000000001</v>
      </c>
      <c r="G165" s="1">
        <v>1</v>
      </c>
      <c r="H165">
        <v>20</v>
      </c>
      <c r="I165">
        <v>86</v>
      </c>
      <c r="J165">
        <v>194</v>
      </c>
      <c r="K165">
        <v>0</v>
      </c>
      <c r="L165">
        <v>1</v>
      </c>
      <c r="M165">
        <v>9</v>
      </c>
      <c r="N165" t="s">
        <v>20</v>
      </c>
      <c r="O165" s="1">
        <f t="shared" si="4"/>
        <v>45</v>
      </c>
      <c r="P165" s="1">
        <f t="shared" si="5"/>
        <v>0.35333333333333333</v>
      </c>
    </row>
    <row r="166" spans="1:16" x14ac:dyDescent="0.3">
      <c r="A166" t="s">
        <v>93</v>
      </c>
      <c r="B166" t="s">
        <v>39</v>
      </c>
      <c r="C166" s="1">
        <v>0.89370000000000005</v>
      </c>
      <c r="D166" s="1">
        <v>0.99370000000000003</v>
      </c>
      <c r="E166" s="1">
        <v>0.49059999999999998</v>
      </c>
      <c r="F166" s="1">
        <v>0.32500000000000001</v>
      </c>
      <c r="G166" s="1">
        <v>1</v>
      </c>
      <c r="H166">
        <v>13</v>
      </c>
      <c r="I166">
        <v>27</v>
      </c>
      <c r="J166">
        <v>253</v>
      </c>
      <c r="K166">
        <v>0</v>
      </c>
      <c r="L166">
        <v>1</v>
      </c>
      <c r="M166">
        <v>8</v>
      </c>
      <c r="N166" t="s">
        <v>23</v>
      </c>
      <c r="O166" s="1">
        <f t="shared" si="4"/>
        <v>61.53846153846154</v>
      </c>
      <c r="P166" s="1">
        <f t="shared" si="5"/>
        <v>0.13651877133105803</v>
      </c>
    </row>
    <row r="167" spans="1:16" x14ac:dyDescent="0.3">
      <c r="A167" t="s">
        <v>94</v>
      </c>
      <c r="B167" t="s">
        <v>30</v>
      </c>
      <c r="C167" s="1">
        <v>0.75560000000000005</v>
      </c>
      <c r="D167" s="1">
        <v>0.99660000000000004</v>
      </c>
      <c r="E167" s="1">
        <v>0.16669999999999999</v>
      </c>
      <c r="F167" s="1">
        <v>9.0899999999999995E-2</v>
      </c>
      <c r="G167" s="1">
        <v>1</v>
      </c>
      <c r="H167">
        <v>3</v>
      </c>
      <c r="I167">
        <v>30</v>
      </c>
      <c r="J167">
        <v>266</v>
      </c>
      <c r="K167">
        <v>0</v>
      </c>
      <c r="L167">
        <v>1</v>
      </c>
      <c r="M167">
        <v>3</v>
      </c>
      <c r="N167" t="s">
        <v>18</v>
      </c>
      <c r="O167" s="1">
        <f t="shared" si="4"/>
        <v>100</v>
      </c>
      <c r="P167" s="1">
        <f t="shared" si="5"/>
        <v>0.11036789297658862</v>
      </c>
    </row>
    <row r="168" spans="1:16" x14ac:dyDescent="0.3">
      <c r="A168" t="s">
        <v>94</v>
      </c>
      <c r="B168" t="s">
        <v>19</v>
      </c>
      <c r="C168" s="1">
        <v>0.83660000000000001</v>
      </c>
      <c r="D168" s="1">
        <v>0.89400000000000002</v>
      </c>
      <c r="E168" s="1">
        <v>0.54549999999999998</v>
      </c>
      <c r="F168" s="1">
        <v>0.40910000000000002</v>
      </c>
      <c r="G168" s="1">
        <v>0.81820000000000004</v>
      </c>
      <c r="H168">
        <v>18</v>
      </c>
      <c r="I168">
        <v>26</v>
      </c>
      <c r="J168">
        <v>252</v>
      </c>
      <c r="K168">
        <v>4</v>
      </c>
      <c r="L168">
        <v>1</v>
      </c>
      <c r="M168">
        <v>10</v>
      </c>
      <c r="N168" t="s">
        <v>20</v>
      </c>
      <c r="O168" s="1">
        <f t="shared" si="4"/>
        <v>45.454545454545453</v>
      </c>
      <c r="P168" s="1">
        <f t="shared" si="5"/>
        <v>0.14666666666666667</v>
      </c>
    </row>
    <row r="169" spans="1:16" x14ac:dyDescent="0.3">
      <c r="A169" t="s">
        <v>94</v>
      </c>
      <c r="B169" t="s">
        <v>39</v>
      </c>
      <c r="C169" s="1">
        <v>0.53039999999999998</v>
      </c>
      <c r="D169" s="1">
        <v>0.95689999999999997</v>
      </c>
      <c r="E169" s="1">
        <v>0.29630000000000001</v>
      </c>
      <c r="F169" s="1">
        <v>0.17649999999999999</v>
      </c>
      <c r="G169" s="1">
        <v>0.92310000000000003</v>
      </c>
      <c r="H169">
        <v>12</v>
      </c>
      <c r="I169">
        <v>56</v>
      </c>
      <c r="J169">
        <v>224</v>
      </c>
      <c r="K169">
        <v>1</v>
      </c>
      <c r="L169">
        <v>1</v>
      </c>
      <c r="M169">
        <v>4</v>
      </c>
      <c r="N169" t="s">
        <v>23</v>
      </c>
      <c r="O169" s="1">
        <f t="shared" si="4"/>
        <v>30.76923076923077</v>
      </c>
      <c r="P169" s="1">
        <f t="shared" si="5"/>
        <v>0.23208191126279865</v>
      </c>
    </row>
    <row r="170" spans="1:16" x14ac:dyDescent="0.3">
      <c r="A170" t="s">
        <v>95</v>
      </c>
      <c r="B170" t="s">
        <v>15</v>
      </c>
      <c r="C170" s="1">
        <v>0.6754</v>
      </c>
      <c r="D170" s="1">
        <v>0.99050000000000005</v>
      </c>
      <c r="E170" s="1">
        <v>0.2</v>
      </c>
      <c r="F170" s="1">
        <v>0.5</v>
      </c>
      <c r="G170" s="1">
        <v>0.125</v>
      </c>
      <c r="H170">
        <v>1</v>
      </c>
      <c r="I170">
        <v>1</v>
      </c>
      <c r="J170">
        <v>263</v>
      </c>
      <c r="K170">
        <v>7</v>
      </c>
      <c r="L170">
        <v>2</v>
      </c>
      <c r="M170">
        <v>7</v>
      </c>
      <c r="N170" t="s">
        <v>16</v>
      </c>
      <c r="O170" s="1">
        <f t="shared" si="4"/>
        <v>87.5</v>
      </c>
      <c r="P170" s="1">
        <f t="shared" si="5"/>
        <v>7.3529411764705881E-3</v>
      </c>
    </row>
    <row r="171" spans="1:16" x14ac:dyDescent="0.3">
      <c r="A171" t="s">
        <v>95</v>
      </c>
      <c r="B171" t="s">
        <v>35</v>
      </c>
      <c r="C171" s="1">
        <v>0.82679999999999998</v>
      </c>
      <c r="D171" s="1">
        <v>0.97130000000000005</v>
      </c>
      <c r="E171" s="1">
        <v>0.18179999999999999</v>
      </c>
      <c r="F171" s="1">
        <v>1</v>
      </c>
      <c r="G171" s="1">
        <v>0.1</v>
      </c>
      <c r="H171">
        <v>1</v>
      </c>
      <c r="I171">
        <v>0</v>
      </c>
      <c r="J171">
        <v>293</v>
      </c>
      <c r="K171">
        <v>9</v>
      </c>
      <c r="L171">
        <v>1</v>
      </c>
      <c r="M171">
        <v>9</v>
      </c>
      <c r="N171" t="s">
        <v>18</v>
      </c>
      <c r="O171" s="1">
        <f t="shared" si="4"/>
        <v>90</v>
      </c>
      <c r="P171" s="1">
        <f t="shared" si="5"/>
        <v>3.3003300330033004E-3</v>
      </c>
    </row>
    <row r="172" spans="1:16" x14ac:dyDescent="0.3">
      <c r="A172" t="s">
        <v>95</v>
      </c>
      <c r="B172" t="s">
        <v>76</v>
      </c>
      <c r="C172" s="1">
        <v>0.71409999999999996</v>
      </c>
      <c r="D172" s="1">
        <v>0.93840000000000001</v>
      </c>
      <c r="E172" s="1">
        <v>0.39579999999999999</v>
      </c>
      <c r="F172" s="1">
        <v>0.25</v>
      </c>
      <c r="G172" s="1">
        <v>0.95</v>
      </c>
      <c r="H172">
        <v>19</v>
      </c>
      <c r="I172">
        <v>57</v>
      </c>
      <c r="J172">
        <v>223</v>
      </c>
      <c r="K172">
        <v>1</v>
      </c>
      <c r="L172">
        <v>1</v>
      </c>
      <c r="M172">
        <v>9</v>
      </c>
      <c r="N172" t="s">
        <v>20</v>
      </c>
      <c r="O172" s="1">
        <f t="shared" si="4"/>
        <v>45</v>
      </c>
      <c r="P172" s="1">
        <f t="shared" si="5"/>
        <v>0.25333333333333335</v>
      </c>
    </row>
    <row r="173" spans="1:16" x14ac:dyDescent="0.3">
      <c r="A173" t="s">
        <v>96</v>
      </c>
      <c r="B173" t="s">
        <v>30</v>
      </c>
      <c r="C173" s="1">
        <v>1</v>
      </c>
      <c r="D173" s="1">
        <v>1</v>
      </c>
      <c r="E173" s="1">
        <v>0.35289999999999999</v>
      </c>
      <c r="F173" s="1">
        <v>0.21429999999999999</v>
      </c>
      <c r="G173" s="1">
        <v>1</v>
      </c>
      <c r="H173">
        <v>3</v>
      </c>
      <c r="I173">
        <v>11</v>
      </c>
      <c r="J173">
        <v>285</v>
      </c>
      <c r="K173">
        <v>0</v>
      </c>
      <c r="L173">
        <v>1</v>
      </c>
      <c r="M173">
        <v>3</v>
      </c>
      <c r="N173" t="s">
        <v>18</v>
      </c>
      <c r="O173" s="1">
        <f t="shared" si="4"/>
        <v>100</v>
      </c>
      <c r="P173" s="1">
        <f t="shared" si="5"/>
        <v>4.6822742474916385E-2</v>
      </c>
    </row>
    <row r="174" spans="1:16" x14ac:dyDescent="0.3">
      <c r="A174" t="s">
        <v>96</v>
      </c>
      <c r="B174" t="s">
        <v>76</v>
      </c>
      <c r="C174" s="1">
        <v>0.70040000000000002</v>
      </c>
      <c r="D174" s="1">
        <v>0.95150000000000001</v>
      </c>
      <c r="E174" s="1">
        <v>0.3175</v>
      </c>
      <c r="F174" s="1">
        <v>0.18870000000000001</v>
      </c>
      <c r="G174" s="1">
        <v>1</v>
      </c>
      <c r="H174">
        <v>20</v>
      </c>
      <c r="I174">
        <v>86</v>
      </c>
      <c r="J174">
        <v>194</v>
      </c>
      <c r="K174">
        <v>0</v>
      </c>
      <c r="L174">
        <v>1</v>
      </c>
      <c r="M174">
        <v>8</v>
      </c>
      <c r="N174" t="s">
        <v>20</v>
      </c>
      <c r="O174" s="1">
        <f t="shared" si="4"/>
        <v>40</v>
      </c>
      <c r="P174" s="1">
        <f t="shared" si="5"/>
        <v>0.35333333333333333</v>
      </c>
    </row>
    <row r="175" spans="1:16" x14ac:dyDescent="0.3">
      <c r="A175" t="s">
        <v>96</v>
      </c>
      <c r="B175" t="s">
        <v>39</v>
      </c>
      <c r="C175" s="1">
        <v>0.83689999999999998</v>
      </c>
      <c r="D175" s="1">
        <v>0.97970000000000002</v>
      </c>
      <c r="E175" s="1">
        <v>0.4138</v>
      </c>
      <c r="F175" s="1">
        <v>0.26669999999999999</v>
      </c>
      <c r="G175" s="1">
        <v>0.92310000000000003</v>
      </c>
      <c r="H175">
        <v>12</v>
      </c>
      <c r="I175">
        <v>33</v>
      </c>
      <c r="J175">
        <v>247</v>
      </c>
      <c r="K175">
        <v>1</v>
      </c>
      <c r="L175">
        <v>1</v>
      </c>
      <c r="M175">
        <v>9</v>
      </c>
      <c r="N175" t="s">
        <v>23</v>
      </c>
      <c r="O175" s="1">
        <f t="shared" si="4"/>
        <v>69.230769230769226</v>
      </c>
      <c r="P175" s="1">
        <f t="shared" si="5"/>
        <v>0.15358361774744028</v>
      </c>
    </row>
    <row r="176" spans="1:16" x14ac:dyDescent="0.3">
      <c r="A176" t="s">
        <v>97</v>
      </c>
      <c r="B176" t="s">
        <v>54</v>
      </c>
      <c r="C176" s="1">
        <v>0.38429999999999997</v>
      </c>
      <c r="D176" s="1">
        <v>0.75439999999999996</v>
      </c>
      <c r="E176" s="1">
        <v>0.22220000000000001</v>
      </c>
      <c r="F176" s="1">
        <v>0.2</v>
      </c>
      <c r="G176" s="1">
        <v>0.25</v>
      </c>
      <c r="H176">
        <v>1</v>
      </c>
      <c r="I176">
        <v>4</v>
      </c>
      <c r="J176">
        <v>279</v>
      </c>
      <c r="K176">
        <v>3</v>
      </c>
      <c r="L176">
        <v>1</v>
      </c>
      <c r="M176">
        <v>3</v>
      </c>
      <c r="N176" t="s">
        <v>18</v>
      </c>
      <c r="O176" s="1">
        <f t="shared" si="4"/>
        <v>75</v>
      </c>
      <c r="P176" s="1">
        <f t="shared" si="5"/>
        <v>1.7421602787456445E-2</v>
      </c>
    </row>
    <row r="177" spans="1:16" x14ac:dyDescent="0.3">
      <c r="A177" t="s">
        <v>97</v>
      </c>
      <c r="B177" t="s">
        <v>76</v>
      </c>
      <c r="C177" s="1">
        <v>0.79569999999999996</v>
      </c>
      <c r="D177" s="1">
        <v>0.96230000000000004</v>
      </c>
      <c r="E177" s="1">
        <v>0.29849999999999999</v>
      </c>
      <c r="F177" s="1">
        <v>0.1754</v>
      </c>
      <c r="G177" s="1">
        <v>1</v>
      </c>
      <c r="H177">
        <v>20</v>
      </c>
      <c r="I177">
        <v>94</v>
      </c>
      <c r="J177">
        <v>186</v>
      </c>
      <c r="K177">
        <v>0</v>
      </c>
      <c r="L177">
        <v>1</v>
      </c>
      <c r="M177">
        <v>9</v>
      </c>
      <c r="N177" t="s">
        <v>20</v>
      </c>
      <c r="O177" s="1">
        <f t="shared" si="4"/>
        <v>45</v>
      </c>
      <c r="P177" s="1">
        <f t="shared" si="5"/>
        <v>0.38</v>
      </c>
    </row>
    <row r="178" spans="1:16" x14ac:dyDescent="0.3">
      <c r="A178" t="s">
        <v>97</v>
      </c>
      <c r="B178" t="s">
        <v>39</v>
      </c>
      <c r="C178" s="1">
        <v>0.92830000000000001</v>
      </c>
      <c r="D178" s="1">
        <v>0.99529999999999996</v>
      </c>
      <c r="E178" s="1">
        <v>0.47270000000000001</v>
      </c>
      <c r="F178" s="1">
        <v>0.3095</v>
      </c>
      <c r="G178" s="1">
        <v>1</v>
      </c>
      <c r="H178">
        <v>13</v>
      </c>
      <c r="I178">
        <v>29</v>
      </c>
      <c r="J178">
        <v>251</v>
      </c>
      <c r="K178">
        <v>0</v>
      </c>
      <c r="L178">
        <v>1</v>
      </c>
      <c r="M178">
        <v>10</v>
      </c>
      <c r="N178" t="s">
        <v>23</v>
      </c>
      <c r="O178" s="1">
        <f t="shared" si="4"/>
        <v>76.923076923076934</v>
      </c>
      <c r="P178" s="1">
        <f t="shared" si="5"/>
        <v>0.14334470989761092</v>
      </c>
    </row>
    <row r="179" spans="1:16" x14ac:dyDescent="0.3">
      <c r="A179" t="s">
        <v>98</v>
      </c>
      <c r="B179" t="s">
        <v>30</v>
      </c>
      <c r="C179" s="1">
        <v>0.91669999999999996</v>
      </c>
      <c r="D179" s="1">
        <v>0.99890000000000001</v>
      </c>
      <c r="E179" s="1">
        <v>0.42859999999999998</v>
      </c>
      <c r="F179" s="1">
        <v>0.2727</v>
      </c>
      <c r="G179" s="1">
        <v>1</v>
      </c>
      <c r="H179">
        <v>3</v>
      </c>
      <c r="I179">
        <v>8</v>
      </c>
      <c r="J179">
        <v>288</v>
      </c>
      <c r="K179">
        <v>0</v>
      </c>
      <c r="L179">
        <v>1</v>
      </c>
      <c r="M179">
        <v>3</v>
      </c>
      <c r="N179" t="s">
        <v>18</v>
      </c>
      <c r="O179" s="1">
        <f t="shared" si="4"/>
        <v>100</v>
      </c>
      <c r="P179" s="1">
        <f t="shared" si="5"/>
        <v>3.678929765886288E-2</v>
      </c>
    </row>
    <row r="180" spans="1:16" x14ac:dyDescent="0.3">
      <c r="A180" t="s">
        <v>98</v>
      </c>
      <c r="B180" t="s">
        <v>76</v>
      </c>
      <c r="C180" s="1">
        <v>0.73760000000000003</v>
      </c>
      <c r="D180" s="1">
        <v>0.95530000000000004</v>
      </c>
      <c r="E180" s="1">
        <v>0.29199999999999998</v>
      </c>
      <c r="F180" s="1">
        <v>0.1709</v>
      </c>
      <c r="G180" s="1">
        <v>1</v>
      </c>
      <c r="H180">
        <v>20</v>
      </c>
      <c r="I180">
        <v>97</v>
      </c>
      <c r="J180">
        <v>183</v>
      </c>
      <c r="K180">
        <v>0</v>
      </c>
      <c r="L180">
        <v>1</v>
      </c>
      <c r="M180">
        <v>8</v>
      </c>
      <c r="N180" t="s">
        <v>20</v>
      </c>
      <c r="O180" s="1">
        <f t="shared" si="4"/>
        <v>40</v>
      </c>
      <c r="P180" s="1">
        <f t="shared" si="5"/>
        <v>0.39</v>
      </c>
    </row>
    <row r="181" spans="1:16" x14ac:dyDescent="0.3">
      <c r="A181" t="s">
        <v>98</v>
      </c>
      <c r="B181" t="s">
        <v>22</v>
      </c>
      <c r="C181" s="1">
        <v>0.4965</v>
      </c>
      <c r="D181" s="1">
        <v>0.97970000000000002</v>
      </c>
      <c r="E181" s="1">
        <v>0.53849999999999998</v>
      </c>
      <c r="F181" s="1">
        <v>0.4118</v>
      </c>
      <c r="G181" s="1">
        <v>0.77780000000000005</v>
      </c>
      <c r="H181">
        <v>7</v>
      </c>
      <c r="I181">
        <v>10</v>
      </c>
      <c r="J181">
        <v>275</v>
      </c>
      <c r="K181">
        <v>2</v>
      </c>
      <c r="L181">
        <v>3</v>
      </c>
      <c r="M181">
        <v>6</v>
      </c>
      <c r="N181" t="s">
        <v>23</v>
      </c>
      <c r="O181" s="1">
        <f t="shared" si="4"/>
        <v>66.666666666666657</v>
      </c>
      <c r="P181" s="1">
        <f t="shared" si="5"/>
        <v>5.7823129251700682E-2</v>
      </c>
    </row>
    <row r="182" spans="1:16" x14ac:dyDescent="0.3">
      <c r="A182" t="s">
        <v>99</v>
      </c>
      <c r="B182" t="s">
        <v>17</v>
      </c>
      <c r="C182" s="1">
        <v>0.81059999999999999</v>
      </c>
      <c r="D182" s="1">
        <v>0.99609999999999999</v>
      </c>
      <c r="E182" s="1">
        <v>0.8</v>
      </c>
      <c r="F182" s="1">
        <v>0.66669999999999996</v>
      </c>
      <c r="G182" s="1">
        <v>1</v>
      </c>
      <c r="H182">
        <v>8</v>
      </c>
      <c r="I182">
        <v>4</v>
      </c>
      <c r="J182">
        <v>283</v>
      </c>
      <c r="K182">
        <v>0</v>
      </c>
      <c r="L182">
        <v>1</v>
      </c>
      <c r="M182">
        <v>8</v>
      </c>
      <c r="N182" t="s">
        <v>18</v>
      </c>
      <c r="O182" s="1">
        <f t="shared" si="4"/>
        <v>100</v>
      </c>
      <c r="P182" s="1">
        <f t="shared" si="5"/>
        <v>4.0677966101694912E-2</v>
      </c>
    </row>
    <row r="183" spans="1:16" x14ac:dyDescent="0.3">
      <c r="A183" t="s">
        <v>99</v>
      </c>
      <c r="B183" t="s">
        <v>76</v>
      </c>
      <c r="C183" s="1">
        <v>0.78800000000000003</v>
      </c>
      <c r="D183" s="1">
        <v>0.95979999999999999</v>
      </c>
      <c r="E183" s="1">
        <v>0.30080000000000001</v>
      </c>
      <c r="F183" s="1">
        <v>0.17699999999999999</v>
      </c>
      <c r="G183" s="1">
        <v>1</v>
      </c>
      <c r="H183">
        <v>20</v>
      </c>
      <c r="I183">
        <v>93</v>
      </c>
      <c r="J183">
        <v>187</v>
      </c>
      <c r="K183">
        <v>0</v>
      </c>
      <c r="L183">
        <v>1</v>
      </c>
      <c r="M183">
        <v>9</v>
      </c>
      <c r="N183" t="s">
        <v>20</v>
      </c>
      <c r="O183" s="1">
        <f t="shared" si="4"/>
        <v>45</v>
      </c>
      <c r="P183" s="1">
        <f t="shared" si="5"/>
        <v>0.37666666666666665</v>
      </c>
    </row>
    <row r="184" spans="1:16" x14ac:dyDescent="0.3">
      <c r="A184" t="s">
        <v>99</v>
      </c>
      <c r="B184" t="s">
        <v>26</v>
      </c>
      <c r="C184" s="1">
        <v>0.61260000000000003</v>
      </c>
      <c r="D184" s="1">
        <v>0.95379999999999998</v>
      </c>
      <c r="E184" s="1">
        <v>0.2</v>
      </c>
      <c r="F184" s="1">
        <v>0.1154</v>
      </c>
      <c r="G184" s="1">
        <v>0.75</v>
      </c>
      <c r="H184">
        <v>3</v>
      </c>
      <c r="I184">
        <v>23</v>
      </c>
      <c r="J184">
        <v>269</v>
      </c>
      <c r="K184">
        <v>1</v>
      </c>
      <c r="L184">
        <v>1</v>
      </c>
      <c r="M184">
        <v>3</v>
      </c>
      <c r="N184" t="s">
        <v>23</v>
      </c>
      <c r="O184" s="1">
        <f t="shared" si="4"/>
        <v>75</v>
      </c>
      <c r="P184" s="1">
        <f t="shared" si="5"/>
        <v>8.7837837837837843E-2</v>
      </c>
    </row>
    <row r="185" spans="1:16" x14ac:dyDescent="0.3">
      <c r="A185" t="s">
        <v>100</v>
      </c>
      <c r="B185" t="s">
        <v>30</v>
      </c>
      <c r="C185" s="1">
        <v>1</v>
      </c>
      <c r="D185" s="1">
        <v>1</v>
      </c>
      <c r="E185" s="1">
        <v>0.46150000000000002</v>
      </c>
      <c r="F185" s="1">
        <v>0.3</v>
      </c>
      <c r="G185" s="1">
        <v>1</v>
      </c>
      <c r="H185">
        <v>3</v>
      </c>
      <c r="I185">
        <v>7</v>
      </c>
      <c r="J185">
        <v>289</v>
      </c>
      <c r="K185">
        <v>0</v>
      </c>
      <c r="L185">
        <v>1</v>
      </c>
      <c r="M185">
        <v>3</v>
      </c>
      <c r="N185" t="s">
        <v>18</v>
      </c>
      <c r="O185" s="1">
        <f t="shared" si="4"/>
        <v>100</v>
      </c>
      <c r="P185" s="1">
        <f t="shared" si="5"/>
        <v>3.3444816053511704E-2</v>
      </c>
    </row>
    <row r="186" spans="1:16" x14ac:dyDescent="0.3">
      <c r="A186" t="s">
        <v>100</v>
      </c>
      <c r="B186" t="s">
        <v>19</v>
      </c>
      <c r="C186" s="1">
        <v>0.8609</v>
      </c>
      <c r="D186" s="1">
        <v>0.93049999999999999</v>
      </c>
      <c r="E186" s="1">
        <v>0.82609999999999995</v>
      </c>
      <c r="F186" s="1">
        <v>0.79169999999999996</v>
      </c>
      <c r="G186" s="1">
        <v>0.86360000000000003</v>
      </c>
      <c r="H186">
        <v>19</v>
      </c>
      <c r="I186">
        <v>5</v>
      </c>
      <c r="J186">
        <v>273</v>
      </c>
      <c r="K186">
        <v>3</v>
      </c>
      <c r="L186">
        <v>1</v>
      </c>
      <c r="M186">
        <v>10</v>
      </c>
      <c r="N186" t="s">
        <v>20</v>
      </c>
      <c r="O186" s="1">
        <f t="shared" si="4"/>
        <v>45.454545454545453</v>
      </c>
      <c r="P186" s="1">
        <f t="shared" si="5"/>
        <v>0.08</v>
      </c>
    </row>
    <row r="187" spans="1:16" x14ac:dyDescent="0.3">
      <c r="A187" t="s">
        <v>100</v>
      </c>
      <c r="B187" t="s">
        <v>86</v>
      </c>
      <c r="C187" s="1">
        <v>0.315</v>
      </c>
      <c r="D187" s="1">
        <v>0.75780000000000003</v>
      </c>
      <c r="E187" s="1">
        <v>0.1217</v>
      </c>
      <c r="F187" s="1">
        <v>6.6000000000000003E-2</v>
      </c>
      <c r="G187" s="1">
        <v>0.77780000000000005</v>
      </c>
      <c r="H187">
        <v>7</v>
      </c>
      <c r="I187">
        <v>99</v>
      </c>
      <c r="J187">
        <v>190</v>
      </c>
      <c r="K187">
        <v>2</v>
      </c>
      <c r="L187">
        <v>1</v>
      </c>
      <c r="M187">
        <v>3</v>
      </c>
      <c r="N187" t="s">
        <v>23</v>
      </c>
      <c r="O187" s="1">
        <f t="shared" si="4"/>
        <v>33.333333333333329</v>
      </c>
      <c r="P187" s="1">
        <f t="shared" si="5"/>
        <v>0.35570469798657717</v>
      </c>
    </row>
    <row r="188" spans="1:16" x14ac:dyDescent="0.3">
      <c r="A188" t="s">
        <v>101</v>
      </c>
      <c r="B188" t="s">
        <v>15</v>
      </c>
      <c r="C188" s="1">
        <v>0.63339999999999996</v>
      </c>
      <c r="D188" s="1">
        <v>0.99009999999999998</v>
      </c>
      <c r="E188" s="1">
        <v>0</v>
      </c>
      <c r="F188" s="1">
        <v>0</v>
      </c>
      <c r="G188" s="1">
        <v>0</v>
      </c>
      <c r="H188">
        <v>0</v>
      </c>
      <c r="I188">
        <v>0</v>
      </c>
      <c r="J188">
        <v>264</v>
      </c>
      <c r="K188">
        <v>8</v>
      </c>
      <c r="L188">
        <v>2</v>
      </c>
      <c r="M188">
        <v>6</v>
      </c>
      <c r="N188" t="s">
        <v>16</v>
      </c>
      <c r="O188" s="1">
        <f t="shared" si="4"/>
        <v>75</v>
      </c>
      <c r="P188" s="1">
        <f t="shared" si="5"/>
        <v>0</v>
      </c>
    </row>
    <row r="189" spans="1:16" x14ac:dyDescent="0.3">
      <c r="A189" t="s">
        <v>101</v>
      </c>
      <c r="B189" t="s">
        <v>35</v>
      </c>
      <c r="C189" s="1">
        <v>0.74539999999999995</v>
      </c>
      <c r="D189" s="1">
        <v>0.97509999999999997</v>
      </c>
      <c r="E189" s="1">
        <v>0.18179999999999999</v>
      </c>
      <c r="F189" s="1">
        <v>1</v>
      </c>
      <c r="G189" s="1">
        <v>0.1</v>
      </c>
      <c r="H189">
        <v>1</v>
      </c>
      <c r="I189">
        <v>0</v>
      </c>
      <c r="J189">
        <v>293</v>
      </c>
      <c r="K189">
        <v>9</v>
      </c>
      <c r="L189">
        <v>1</v>
      </c>
      <c r="M189">
        <v>8</v>
      </c>
      <c r="N189" t="s">
        <v>18</v>
      </c>
      <c r="O189" s="1">
        <f t="shared" si="4"/>
        <v>80</v>
      </c>
      <c r="P189" s="1">
        <f t="shared" si="5"/>
        <v>3.3003300330033004E-3</v>
      </c>
    </row>
    <row r="190" spans="1:16" x14ac:dyDescent="0.3">
      <c r="A190" t="s">
        <v>101</v>
      </c>
      <c r="B190" t="s">
        <v>39</v>
      </c>
      <c r="C190" s="1">
        <v>0.84750000000000003</v>
      </c>
      <c r="D190" s="1">
        <v>0.98629999999999995</v>
      </c>
      <c r="E190" s="1">
        <v>0.39389999999999997</v>
      </c>
      <c r="F190" s="1">
        <v>0.24529999999999999</v>
      </c>
      <c r="G190" s="1">
        <v>1</v>
      </c>
      <c r="H190">
        <v>13</v>
      </c>
      <c r="I190">
        <v>40</v>
      </c>
      <c r="J190">
        <v>240</v>
      </c>
      <c r="K190">
        <v>0</v>
      </c>
      <c r="L190">
        <v>1</v>
      </c>
      <c r="M190">
        <v>8</v>
      </c>
      <c r="N190" t="s">
        <v>23</v>
      </c>
      <c r="O190" s="1">
        <f t="shared" si="4"/>
        <v>61.53846153846154</v>
      </c>
      <c r="P190" s="1">
        <f t="shared" si="5"/>
        <v>0.18088737201365188</v>
      </c>
    </row>
    <row r="191" spans="1:16" x14ac:dyDescent="0.3">
      <c r="A191" t="s">
        <v>102</v>
      </c>
      <c r="B191" t="s">
        <v>30</v>
      </c>
      <c r="C191" s="1">
        <v>1</v>
      </c>
      <c r="D191" s="1">
        <v>1</v>
      </c>
      <c r="E191" s="1">
        <v>0.5</v>
      </c>
      <c r="F191" s="1">
        <v>0.33329999999999999</v>
      </c>
      <c r="G191" s="1">
        <v>1</v>
      </c>
      <c r="H191">
        <v>3</v>
      </c>
      <c r="I191">
        <v>6</v>
      </c>
      <c r="J191">
        <v>290</v>
      </c>
      <c r="K191">
        <v>0</v>
      </c>
      <c r="L191">
        <v>1</v>
      </c>
      <c r="M191">
        <v>3</v>
      </c>
      <c r="N191" t="s">
        <v>18</v>
      </c>
      <c r="O191" s="1">
        <f t="shared" si="4"/>
        <v>100</v>
      </c>
      <c r="P191" s="1">
        <f t="shared" si="5"/>
        <v>3.0100334448160536E-2</v>
      </c>
    </row>
    <row r="192" spans="1:16" x14ac:dyDescent="0.3">
      <c r="A192" t="s">
        <v>102</v>
      </c>
      <c r="B192" t="s">
        <v>76</v>
      </c>
      <c r="C192" s="1">
        <v>0.76390000000000002</v>
      </c>
      <c r="D192" s="1">
        <v>0.96209999999999996</v>
      </c>
      <c r="E192" s="1">
        <v>0.27779999999999999</v>
      </c>
      <c r="F192" s="1">
        <v>0.1613</v>
      </c>
      <c r="G192" s="1">
        <v>1</v>
      </c>
      <c r="H192">
        <v>20</v>
      </c>
      <c r="I192">
        <v>104</v>
      </c>
      <c r="J192">
        <v>176</v>
      </c>
      <c r="K192">
        <v>0</v>
      </c>
      <c r="L192">
        <v>1</v>
      </c>
      <c r="M192">
        <v>8</v>
      </c>
      <c r="N192" t="s">
        <v>20</v>
      </c>
      <c r="O192" s="1">
        <f t="shared" si="4"/>
        <v>40</v>
      </c>
      <c r="P192" s="1">
        <f t="shared" si="5"/>
        <v>0.41333333333333333</v>
      </c>
    </row>
    <row r="193" spans="1:16" x14ac:dyDescent="0.3">
      <c r="A193" t="s">
        <v>102</v>
      </c>
      <c r="B193" t="s">
        <v>33</v>
      </c>
      <c r="C193" s="1">
        <v>0.43919999999999998</v>
      </c>
      <c r="D193" s="1">
        <v>0.89119999999999999</v>
      </c>
      <c r="E193" s="1">
        <v>0.39019999999999999</v>
      </c>
      <c r="F193" s="1">
        <v>0.29630000000000001</v>
      </c>
      <c r="G193" s="1">
        <v>0.57140000000000002</v>
      </c>
      <c r="H193">
        <v>8</v>
      </c>
      <c r="I193">
        <v>19</v>
      </c>
      <c r="J193">
        <v>264</v>
      </c>
      <c r="K193">
        <v>6</v>
      </c>
      <c r="L193">
        <v>2</v>
      </c>
      <c r="M193">
        <v>6</v>
      </c>
      <c r="N193" t="s">
        <v>23</v>
      </c>
      <c r="O193" s="1">
        <f t="shared" si="4"/>
        <v>42.857142857142854</v>
      </c>
      <c r="P193" s="1">
        <f t="shared" si="5"/>
        <v>9.0909090909090912E-2</v>
      </c>
    </row>
    <row r="194" spans="1:16" x14ac:dyDescent="0.3">
      <c r="A194" t="s">
        <v>103</v>
      </c>
      <c r="B194" t="s">
        <v>30</v>
      </c>
      <c r="C194" s="1">
        <v>1</v>
      </c>
      <c r="D194" s="1">
        <v>1</v>
      </c>
      <c r="E194" s="1">
        <v>0.375</v>
      </c>
      <c r="F194" s="1">
        <v>0.23080000000000001</v>
      </c>
      <c r="G194" s="1">
        <v>1</v>
      </c>
      <c r="H194">
        <v>3</v>
      </c>
      <c r="I194">
        <v>10</v>
      </c>
      <c r="J194">
        <v>286</v>
      </c>
      <c r="K194">
        <v>0</v>
      </c>
      <c r="L194">
        <v>1</v>
      </c>
      <c r="M194">
        <v>3</v>
      </c>
      <c r="N194" t="s">
        <v>18</v>
      </c>
      <c r="O194" s="1">
        <f t="shared" si="4"/>
        <v>100</v>
      </c>
      <c r="P194" s="1">
        <f t="shared" si="5"/>
        <v>4.3478260869565216E-2</v>
      </c>
    </row>
    <row r="195" spans="1:16" x14ac:dyDescent="0.3">
      <c r="A195" t="s">
        <v>103</v>
      </c>
      <c r="B195" t="s">
        <v>76</v>
      </c>
      <c r="C195" s="1">
        <v>0.78269999999999995</v>
      </c>
      <c r="D195" s="1">
        <v>0.96020000000000005</v>
      </c>
      <c r="E195" s="1">
        <v>0.27210000000000001</v>
      </c>
      <c r="F195" s="1">
        <v>0.1575</v>
      </c>
      <c r="G195" s="1">
        <v>1</v>
      </c>
      <c r="H195">
        <v>20</v>
      </c>
      <c r="I195">
        <v>107</v>
      </c>
      <c r="J195">
        <v>173</v>
      </c>
      <c r="K195">
        <v>0</v>
      </c>
      <c r="L195">
        <v>1</v>
      </c>
      <c r="M195">
        <v>9</v>
      </c>
      <c r="N195" t="s">
        <v>20</v>
      </c>
      <c r="O195" s="1">
        <f t="shared" ref="O195:O205" si="6">M195/(H195+K195)*100</f>
        <v>45</v>
      </c>
      <c r="P195" s="1">
        <f t="shared" ref="P195:P205" si="7">(H195+I195)/(H195+I195+J195+K195)</f>
        <v>0.42333333333333334</v>
      </c>
    </row>
    <row r="196" spans="1:16" x14ac:dyDescent="0.3">
      <c r="A196" t="s">
        <v>103</v>
      </c>
      <c r="B196" t="s">
        <v>33</v>
      </c>
      <c r="C196" s="1">
        <v>0.376</v>
      </c>
      <c r="D196" s="1">
        <v>0.86570000000000003</v>
      </c>
      <c r="E196" s="1">
        <v>0.4118</v>
      </c>
      <c r="F196" s="1">
        <v>0.35</v>
      </c>
      <c r="G196" s="1">
        <v>0.5</v>
      </c>
      <c r="H196">
        <v>7</v>
      </c>
      <c r="I196">
        <v>13</v>
      </c>
      <c r="J196">
        <v>270</v>
      </c>
      <c r="K196">
        <v>7</v>
      </c>
      <c r="L196">
        <v>2</v>
      </c>
      <c r="M196">
        <v>4</v>
      </c>
      <c r="N196" t="s">
        <v>23</v>
      </c>
      <c r="O196" s="1">
        <f t="shared" si="6"/>
        <v>28.571428571428569</v>
      </c>
      <c r="P196" s="1">
        <f t="shared" si="7"/>
        <v>6.7340067340067339E-2</v>
      </c>
    </row>
    <row r="197" spans="1:16" x14ac:dyDescent="0.3">
      <c r="A197" t="s">
        <v>104</v>
      </c>
      <c r="B197" t="s">
        <v>30</v>
      </c>
      <c r="C197" s="1">
        <v>1</v>
      </c>
      <c r="D197" s="1">
        <v>1</v>
      </c>
      <c r="E197" s="1">
        <v>0.4</v>
      </c>
      <c r="F197" s="1">
        <v>0.25</v>
      </c>
      <c r="G197" s="1">
        <v>1</v>
      </c>
      <c r="H197">
        <v>3</v>
      </c>
      <c r="I197">
        <v>9</v>
      </c>
      <c r="J197">
        <v>287</v>
      </c>
      <c r="K197">
        <v>0</v>
      </c>
      <c r="L197">
        <v>1</v>
      </c>
      <c r="M197">
        <v>3</v>
      </c>
      <c r="N197" t="s">
        <v>18</v>
      </c>
      <c r="O197" s="1">
        <f t="shared" si="6"/>
        <v>100</v>
      </c>
      <c r="P197" s="1">
        <f t="shared" si="7"/>
        <v>4.0133779264214048E-2</v>
      </c>
    </row>
    <row r="198" spans="1:16" x14ac:dyDescent="0.3">
      <c r="A198" t="s">
        <v>104</v>
      </c>
      <c r="B198" t="s">
        <v>76</v>
      </c>
      <c r="C198" s="1">
        <v>0.61570000000000003</v>
      </c>
      <c r="D198" s="1">
        <v>0.92700000000000005</v>
      </c>
      <c r="E198" s="1">
        <v>0.2797</v>
      </c>
      <c r="F198" s="1">
        <v>0.16259999999999999</v>
      </c>
      <c r="G198" s="1">
        <v>1</v>
      </c>
      <c r="H198">
        <v>20</v>
      </c>
      <c r="I198">
        <v>103</v>
      </c>
      <c r="J198">
        <v>177</v>
      </c>
      <c r="K198">
        <v>0</v>
      </c>
      <c r="L198">
        <v>1</v>
      </c>
      <c r="M198">
        <v>8</v>
      </c>
      <c r="N198" t="s">
        <v>20</v>
      </c>
      <c r="O198" s="1">
        <f t="shared" si="6"/>
        <v>40</v>
      </c>
      <c r="P198" s="1">
        <f t="shared" si="7"/>
        <v>0.41</v>
      </c>
    </row>
    <row r="199" spans="1:16" x14ac:dyDescent="0.3">
      <c r="A199" t="s">
        <v>104</v>
      </c>
      <c r="B199" t="s">
        <v>26</v>
      </c>
      <c r="C199" s="1">
        <v>0.64170000000000005</v>
      </c>
      <c r="D199" s="1">
        <v>0.94950000000000001</v>
      </c>
      <c r="E199" s="1">
        <v>0.23080000000000001</v>
      </c>
      <c r="F199" s="1">
        <v>0.13639999999999999</v>
      </c>
      <c r="G199" s="1">
        <v>0.75</v>
      </c>
      <c r="H199">
        <v>3</v>
      </c>
      <c r="I199">
        <v>19</v>
      </c>
      <c r="J199">
        <v>273</v>
      </c>
      <c r="K199">
        <v>1</v>
      </c>
      <c r="L199">
        <v>1</v>
      </c>
      <c r="M199">
        <v>3</v>
      </c>
      <c r="N199" t="s">
        <v>23</v>
      </c>
      <c r="O199" s="1">
        <f t="shared" si="6"/>
        <v>75</v>
      </c>
      <c r="P199" s="1">
        <f t="shared" si="7"/>
        <v>7.4324324324324328E-2</v>
      </c>
    </row>
    <row r="200" spans="1:16" x14ac:dyDescent="0.3">
      <c r="A200" t="s">
        <v>105</v>
      </c>
      <c r="B200" t="s">
        <v>30</v>
      </c>
      <c r="C200" s="1">
        <v>1</v>
      </c>
      <c r="D200" s="1">
        <v>1</v>
      </c>
      <c r="E200" s="1">
        <v>0.42859999999999998</v>
      </c>
      <c r="F200" s="1">
        <v>0.2727</v>
      </c>
      <c r="G200" s="1">
        <v>1</v>
      </c>
      <c r="H200">
        <v>3</v>
      </c>
      <c r="I200">
        <v>8</v>
      </c>
      <c r="J200">
        <v>288</v>
      </c>
      <c r="K200">
        <v>0</v>
      </c>
      <c r="L200">
        <v>1</v>
      </c>
      <c r="M200">
        <v>3</v>
      </c>
      <c r="N200" t="s">
        <v>18</v>
      </c>
      <c r="O200" s="1">
        <f t="shared" si="6"/>
        <v>100</v>
      </c>
      <c r="P200" s="1">
        <f t="shared" si="7"/>
        <v>3.678929765886288E-2</v>
      </c>
    </row>
    <row r="201" spans="1:16" x14ac:dyDescent="0.3">
      <c r="A201" t="s">
        <v>105</v>
      </c>
      <c r="B201" t="s">
        <v>76</v>
      </c>
      <c r="C201" s="1">
        <v>0.71960000000000002</v>
      </c>
      <c r="D201" s="1">
        <v>0.95209999999999995</v>
      </c>
      <c r="E201" s="1">
        <v>0.30080000000000001</v>
      </c>
      <c r="F201" s="1">
        <v>0.17699999999999999</v>
      </c>
      <c r="G201" s="1">
        <v>1</v>
      </c>
      <c r="H201">
        <v>20</v>
      </c>
      <c r="I201">
        <v>93</v>
      </c>
      <c r="J201">
        <v>187</v>
      </c>
      <c r="K201">
        <v>0</v>
      </c>
      <c r="L201">
        <v>1</v>
      </c>
      <c r="M201">
        <v>9</v>
      </c>
      <c r="N201" t="s">
        <v>20</v>
      </c>
      <c r="O201" s="1">
        <f t="shared" si="6"/>
        <v>45</v>
      </c>
      <c r="P201" s="1">
        <f t="shared" si="7"/>
        <v>0.37666666666666665</v>
      </c>
    </row>
    <row r="202" spans="1:16" x14ac:dyDescent="0.3">
      <c r="A202" t="s">
        <v>105</v>
      </c>
      <c r="B202" t="s">
        <v>84</v>
      </c>
      <c r="C202" s="1">
        <v>0.39510000000000001</v>
      </c>
      <c r="D202" s="1">
        <v>0.98060000000000003</v>
      </c>
      <c r="E202" s="1">
        <v>0.20899999999999999</v>
      </c>
      <c r="F202" s="1">
        <v>0.1167</v>
      </c>
      <c r="G202" s="1">
        <v>1</v>
      </c>
      <c r="H202">
        <v>7</v>
      </c>
      <c r="I202">
        <v>53</v>
      </c>
      <c r="J202">
        <v>234</v>
      </c>
      <c r="K202">
        <v>0</v>
      </c>
      <c r="L202">
        <v>4</v>
      </c>
      <c r="M202">
        <v>4</v>
      </c>
      <c r="N202" t="s">
        <v>23</v>
      </c>
      <c r="O202" s="1">
        <f t="shared" si="6"/>
        <v>57.142857142857139</v>
      </c>
      <c r="P202" s="1">
        <f t="shared" si="7"/>
        <v>0.20408163265306123</v>
      </c>
    </row>
    <row r="203" spans="1:16" x14ac:dyDescent="0.3">
      <c r="A203" t="s">
        <v>106</v>
      </c>
      <c r="B203" t="s">
        <v>30</v>
      </c>
      <c r="C203" s="1">
        <v>1</v>
      </c>
      <c r="D203" s="1">
        <v>1</v>
      </c>
      <c r="E203" s="1">
        <v>0.46150000000000002</v>
      </c>
      <c r="F203" s="1">
        <v>0.3</v>
      </c>
      <c r="G203" s="1">
        <v>1</v>
      </c>
      <c r="H203">
        <v>3</v>
      </c>
      <c r="I203">
        <v>7</v>
      </c>
      <c r="J203">
        <v>289</v>
      </c>
      <c r="K203">
        <v>0</v>
      </c>
      <c r="L203">
        <v>1</v>
      </c>
      <c r="M203">
        <v>3</v>
      </c>
      <c r="N203" t="s">
        <v>18</v>
      </c>
      <c r="O203" s="1">
        <f t="shared" si="6"/>
        <v>100</v>
      </c>
      <c r="P203" s="1">
        <f t="shared" si="7"/>
        <v>3.3444816053511704E-2</v>
      </c>
    </row>
    <row r="204" spans="1:16" x14ac:dyDescent="0.3">
      <c r="A204" t="s">
        <v>106</v>
      </c>
      <c r="B204" t="s">
        <v>76</v>
      </c>
      <c r="C204" s="1">
        <v>0.70579999999999998</v>
      </c>
      <c r="D204" s="1">
        <v>0.95199999999999996</v>
      </c>
      <c r="E204" s="1">
        <v>0.27589999999999998</v>
      </c>
      <c r="F204" s="1">
        <v>0.16</v>
      </c>
      <c r="G204" s="1">
        <v>1</v>
      </c>
      <c r="H204">
        <v>20</v>
      </c>
      <c r="I204">
        <v>105</v>
      </c>
      <c r="J204">
        <v>175</v>
      </c>
      <c r="K204">
        <v>0</v>
      </c>
      <c r="L204">
        <v>1</v>
      </c>
      <c r="M204">
        <v>8</v>
      </c>
      <c r="N204" t="s">
        <v>20</v>
      </c>
      <c r="O204" s="1">
        <f t="shared" si="6"/>
        <v>40</v>
      </c>
      <c r="P204" s="1">
        <f t="shared" si="7"/>
        <v>0.41666666666666669</v>
      </c>
    </row>
    <row r="205" spans="1:16" x14ac:dyDescent="0.3">
      <c r="A205" t="s">
        <v>106</v>
      </c>
      <c r="B205" t="s">
        <v>26</v>
      </c>
      <c r="C205" s="1">
        <v>0.40770000000000001</v>
      </c>
      <c r="D205" s="1">
        <v>0.94950000000000001</v>
      </c>
      <c r="E205" s="1">
        <v>0.2069</v>
      </c>
      <c r="F205" s="1">
        <v>0.12</v>
      </c>
      <c r="G205" s="1">
        <v>0.75</v>
      </c>
      <c r="H205">
        <v>3</v>
      </c>
      <c r="I205">
        <v>22</v>
      </c>
      <c r="J205">
        <v>270</v>
      </c>
      <c r="K205">
        <v>1</v>
      </c>
      <c r="L205">
        <v>1</v>
      </c>
      <c r="M205">
        <v>2</v>
      </c>
      <c r="N205" t="s">
        <v>23</v>
      </c>
      <c r="O205" s="1">
        <f t="shared" si="6"/>
        <v>50</v>
      </c>
      <c r="P205" s="1">
        <f t="shared" si="7"/>
        <v>8.4459459459459457E-2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L3O_good_ranker_modest_to_good_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Sistla</dc:creator>
  <cp:lastModifiedBy>Hemant Sistla</cp:lastModifiedBy>
  <dcterms:created xsi:type="dcterms:W3CDTF">2026-08-17T06:34:33Z</dcterms:created>
  <dcterms:modified xsi:type="dcterms:W3CDTF">2026-08-25T10:51:35Z</dcterms:modified>
</cp:coreProperties>
</file>